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23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8.xml" ContentType="application/vnd.openxmlformats-officedocument.spreadsheetml.worksheet+xml"/>
  <Override PartName="/xl/worksheets/sheet15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5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19.xml" ContentType="application/vnd.openxmlformats-officedocument.drawingml.chart+xml"/>
  <Override PartName="/xl/charts/chart11.xml" ContentType="application/vnd.openxmlformats-officedocument.drawingml.chart+xml"/>
  <Override PartName="/xl/charts/chart15.xml" ContentType="application/vnd.openxmlformats-officedocument.drawingml.chart+xml"/>
  <Override PartName="/xl/charts/chart6.xml" ContentType="application/vnd.openxmlformats-officedocument.drawingml.chart+xml"/>
  <Override PartName="/xl/charts/chart18.xml" ContentType="application/vnd.openxmlformats-officedocument.drawingml.chart+xml"/>
  <Override PartName="/xl/charts/chart13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0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8.xml" ContentType="application/vnd.openxmlformats-officedocument.drawingml.chart+xml"/>
  <Override PartName="/xl/charts/chart2.xml" ContentType="application/vnd.openxmlformats-officedocument.drawingml.chart+xml"/>
  <Override PartName="/xl/charts/chart5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Keys" sheetId="2" state="visible" r:id="rId4"/>
    <sheet name="Export-dataset" sheetId="3" state="visible" r:id="rId5"/>
    <sheet name="Import-dataset" sheetId="4" state="visible" r:id="rId6"/>
    <sheet name="Export-tidy" sheetId="5" state="visible" r:id="rId7"/>
    <sheet name="Import-tidy" sheetId="6" state="visible" r:id="rId8"/>
    <sheet name="Main-Analytics" sheetId="7" state="visible" r:id="rId9"/>
    <sheet name="Main-Stats" sheetId="8" state="visible" r:id="rId10"/>
    <sheet name="Balance" sheetId="9" state="visible" r:id="rId11"/>
    <sheet name="Correlation" sheetId="10" state="visible" r:id="rId12"/>
    <sheet name="ChangePoints" sheetId="11" state="visible" r:id="rId13"/>
    <sheet name="Cat3-SubAnalytics" sheetId="12" state="visible" r:id="rId14"/>
    <sheet name="Pet33-Focus" sheetId="13" state="visible" r:id="rId15"/>
    <sheet name="Pet33-vs-Sub" sheetId="14" state="visible" r:id="rId16"/>
    <sheet name="Pet33-Forecast" sheetId="15" state="visible" r:id="rId17"/>
    <sheet name="AI-Comparison" sheetId="16" state="visible" r:id="rId18"/>
    <sheet name="Chart-Main-Value" sheetId="17" state="visible" r:id="rId19"/>
    <sheet name="Chart-Main-Index" sheetId="18" state="visible" r:id="rId20"/>
    <sheet name="Chart-Main-Share" sheetId="19" state="visible" r:id="rId21"/>
    <sheet name="Chart-Main-Stats" sheetId="20" state="visible" r:id="rId22"/>
    <sheet name="Chart-Balance" sheetId="21" state="visible" r:id="rId23"/>
    <sheet name="Chart-Cat3" sheetId="22" state="visible" r:id="rId24"/>
    <sheet name="Chart-Pet33" sheetId="23" state="visible" r:id="rId25"/>
  </sheets>
  <definedNames>
    <definedName function="false" hidden="true" localSheetId="4" name="_xlnm._FilterDatabase" vbProcedure="false">'Export-tidy'!$A$1:$H$781</definedName>
    <definedName function="false" hidden="true" localSheetId="5" name="_xlnm._FilterDatabase" vbProcedure="false">'Import-tidy'!$A$1:$H$781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<sst xmlns="http://schemas.openxmlformats.org/spreadsheetml/2006/main" count="10685" uniqueCount="605">
  <si>
    <t xml:space="preserve">Australian International Trade, 2016 to 2025</t>
  </si>
  <si>
    <t xml:space="preserve">32146 Visual Analytics, Assessment Task 3. Student 24503993.</t>
  </si>
  <si>
    <t xml:space="preserve">How to read this workbook</t>
  </si>
  <si>
    <t xml:space="preserve">Every number in the analysis sheets is a live formula. The two dataset sheets hold the source data and no formula.</t>
  </si>
  <si>
    <t xml:space="preserve">All money values are in $ Millions, which is the unit the source uses.</t>
  </si>
  <si>
    <t xml:space="preserve">The focus main category is 3, Mineral fuels, lubricants and related materials.</t>
  </si>
  <si>
    <t xml:space="preserve">The focus subcategory is 33, Petroleum, petroleum products and related materials.</t>
  </si>
  <si>
    <t xml:space="preserve">Growth, share and CAGR columns are fractions shown as percentages.</t>
  </si>
  <si>
    <t xml:space="preserve">The dashboard and the storyboard read this workbook, so a change here changes the charts.</t>
  </si>
  <si>
    <t xml:space="preserve">The dashboard and the storyboard</t>
  </si>
  <si>
    <t xml:space="preserve">The live dashboard and storyboard URL is printed on the report title page.</t>
  </si>
  <si>
    <t xml:space="preserve">Sheets</t>
  </si>
  <si>
    <t xml:space="preserve">Sheet</t>
  </si>
  <si>
    <t xml:space="preserve">What it holds</t>
  </si>
  <si>
    <t xml:space="preserve">Keys</t>
  </si>
  <si>
    <t xml:space="preserve">Numeric year keys that the trend and forecast formulas read.</t>
  </si>
  <si>
    <t xml:space="preserve">Export-dataset</t>
  </si>
  <si>
    <t xml:space="preserve">The source export data, copied without any change.</t>
  </si>
  <si>
    <t xml:space="preserve">Import-dataset</t>
  </si>
  <si>
    <t xml:space="preserve">The source import data, copied without any change.</t>
  </si>
  <si>
    <t xml:space="preserve">Export-tidy</t>
  </si>
  <si>
    <t xml:space="preserve">The export data in long format, one row per category and year.</t>
  </si>
  <si>
    <t xml:space="preserve">Import-tidy</t>
  </si>
  <si>
    <t xml:space="preserve">The import data in long format, one row per category and year.</t>
  </si>
  <si>
    <t xml:space="preserve">Main-Analytics</t>
  </si>
  <si>
    <t xml:space="preserve">Growth, index, share, CAGR and growth contribution for the 10 main categories.</t>
  </si>
  <si>
    <t xml:space="preserve">Main-Stats</t>
  </si>
  <si>
    <t xml:space="preserve">Mean, median, spread, trend and the outlier z-score for the 10 main categories.</t>
  </si>
  <si>
    <t xml:space="preserve">Balance</t>
  </si>
  <si>
    <t xml:space="preserve">Export minus import, and the cover ratio, by main category.</t>
  </si>
  <si>
    <t xml:space="preserve">Correlation</t>
  </si>
  <si>
    <t xml:space="preserve">How the main categories move against each other.</t>
  </si>
  <si>
    <t xml:space="preserve">ChangePoints</t>
  </si>
  <si>
    <t xml:space="preserve">The largest rise and the largest fall in each year, with a possible cause.</t>
  </si>
  <si>
    <t xml:space="preserve">Cat3-SubAnalytics</t>
  </si>
  <si>
    <t xml:space="preserve">Main category 3 against subcategories 32, 33 and 34.</t>
  </si>
  <si>
    <t xml:space="preserve">Pet33-Focus</t>
  </si>
  <si>
    <t xml:space="preserve">The focus subcategory, one row per year, with an insight for each year.</t>
  </si>
  <si>
    <t xml:space="preserve">Pet33-vs-Sub</t>
  </si>
  <si>
    <t xml:space="preserve">Subcategory 33 against coal and gas, on index, growth and correlation.</t>
  </si>
  <si>
    <t xml:space="preserve">Pet33-Forecast</t>
  </si>
  <si>
    <t xml:space="preserve">The ten year trend and the five year forecast, with the target path.</t>
  </si>
  <si>
    <t xml:space="preserve">AI-Comparison</t>
  </si>
  <si>
    <t xml:space="preserve">My forecast against the AI forecast.</t>
  </si>
  <si>
    <t xml:space="preserve">Chart-Main-Value</t>
  </si>
  <si>
    <t xml:space="preserve">Raw dollar value trends for all 10 main categories, import and export.</t>
  </si>
  <si>
    <t xml:space="preserve">Chart-Main-Index</t>
  </si>
  <si>
    <t xml:space="preserve">Analytical trends. The same 10 categories indexed to 2016.</t>
  </si>
  <si>
    <t xml:space="preserve">Chart-Main-Share</t>
  </si>
  <si>
    <t xml:space="preserve">Analytical trends. Each category as a share of the direction total.</t>
  </si>
  <si>
    <t xml:space="preserve">Chart-Main-Stats</t>
  </si>
  <si>
    <t xml:space="preserve">Statistical trends. The outlier z-score of growth for all 10 categories.</t>
  </si>
  <si>
    <t xml:space="preserve">Chart-Balance</t>
  </si>
  <si>
    <t xml:space="preserve">Trade balance by main category, and the all category total.</t>
  </si>
  <si>
    <t xml:space="preserve">Chart-Cat3</t>
  </si>
  <si>
    <t xml:space="preserve">Chart-Pet33</t>
  </si>
  <si>
    <t xml:space="preserve">The focus subcategory. Export against import, the balance, and the forecast.</t>
  </si>
  <si>
    <t xml:space="preserve">Numeric keys used by the trend and forecast formulas</t>
  </si>
  <si>
    <t xml:space="preserve">Index</t>
  </si>
  <si>
    <t xml:space="preserve">Year</t>
  </si>
  <si>
    <t xml:space="preserve">Forecast year</t>
  </si>
  <si>
    <t xml:space="preserve">Export</t>
  </si>
  <si>
    <t xml:space="preserve">0 Food and live animals ;</t>
  </si>
  <si>
    <t xml:space="preserve">00 Live animals (excl. fish (not marine mammals) crustaceans, molluscs and aquatic invertebrates of SITC Division 03) ;</t>
  </si>
  <si>
    <t xml:space="preserve">01 Meat and meat preparations ;</t>
  </si>
  <si>
    <t xml:space="preserve">02 Dairy products and birds’ eggs ;</t>
  </si>
  <si>
    <t xml:space="preserve">03 Fish (excl. marine mammals) crustaceans, molluscs and aquatic invertebrates, and preparations thereof (excl. extracts and juices of fish, crustaceans, molluscs or other aquatic invertebrates, prepared or preserved of SITC 01710) ;</t>
  </si>
  <si>
    <t xml:space="preserve">04 Cereals and cereal preparations ;</t>
  </si>
  <si>
    <t xml:space="preserve">05 Vegetables and fruit ;</t>
  </si>
  <si>
    <t xml:space="preserve">06 Sugars, sugar preparations and honey ;</t>
  </si>
  <si>
    <t xml:space="preserve">07 Coffee, tea, cocoa, spices, and manufactures thereof ;</t>
  </si>
  <si>
    <t xml:space="preserve">08 Feeding stuff for animals (excl. unmilled cereals) ;</t>
  </si>
  <si>
    <t xml:space="preserve">09 Miscellaneous edible products and preparations ;</t>
  </si>
  <si>
    <t xml:space="preserve">1 Beverages and tobacco ;</t>
  </si>
  <si>
    <t xml:space="preserve">11 Beverages ;</t>
  </si>
  <si>
    <t xml:space="preserve">12 Tobacco and tobacco manufactures ;</t>
  </si>
  <si>
    <t xml:space="preserve">2 Crude materials, inedible, except fuels ;</t>
  </si>
  <si>
    <t xml:space="preserve">21 Hides, skins and furskins, raw ;</t>
  </si>
  <si>
    <t xml:space="preserve">22 Oil-seeds and oleaginous fruits ;</t>
  </si>
  <si>
    <t xml:space="preserve">23 Crude rubber (incl. synthetic and reclaimed) ;</t>
  </si>
  <si>
    <t xml:space="preserve">24 Cork and wood ;</t>
  </si>
  <si>
    <t xml:space="preserve">25 Pulp and waste paper ;</t>
  </si>
  <si>
    <t xml:space="preserve">26 Textile fibres (excl. wool tops and other combed wool) and their wastes, not manufactured into yarn or fabric ;</t>
  </si>
  <si>
    <t xml:space="preserve">27 Crude fertilizers (excl. those of Division 56) and crude minerals (excl. coal, petroleum and precious stones) ;</t>
  </si>
  <si>
    <t xml:space="preserve">28 Metalliferous ores and metal scrap ;</t>
  </si>
  <si>
    <t xml:space="preserve">29 Crude animal and vegetable materials, nes ;</t>
  </si>
  <si>
    <t xml:space="preserve">3 Mineral fuels, lubricants and related materials ;</t>
  </si>
  <si>
    <t xml:space="preserve">32 Coal, coke and briquettes ;</t>
  </si>
  <si>
    <t xml:space="preserve">33 Petroleum, petroleum products and related materials ;</t>
  </si>
  <si>
    <t xml:space="preserve">34 Gas, natural and manufactured ;</t>
  </si>
  <si>
    <t xml:space="preserve">4 Animal and vegetable oils, fats and waxes ;</t>
  </si>
  <si>
    <t xml:space="preserve">41 Animal oils and fats ;</t>
  </si>
  <si>
    <t xml:space="preserve">42 Fixed vegetable fats and oils, crude, refined or fractionated ;</t>
  </si>
  <si>
    <t xml:space="preserve">43 Animal or vegetable fats and oils, processed; waxes of animal or vegetable origin; inedible mixtures or preparations of animal or vegetable fats or oils, nes ;</t>
  </si>
  <si>
    <t xml:space="preserve">5 Chemicals and related products, nes ;</t>
  </si>
  <si>
    <t xml:space="preserve">51 Organic chemicals ;</t>
  </si>
  <si>
    <t xml:space="preserve">52 Inorganic chemicals ;</t>
  </si>
  <si>
    <t xml:space="preserve">53 Dyeing, tanning and colouring materials ;</t>
  </si>
  <si>
    <t xml:space="preserve">54 Medicinal and pharmaceutical products ;</t>
  </si>
  <si>
    <t xml:space="preserve">55 Essential oils and resinoids and perfume materials; toilet, polishing and cleansing preparations ;</t>
  </si>
  <si>
    <t xml:space="preserve">56 Fertilisers (excl. those of group 272) ;</t>
  </si>
  <si>
    <t xml:space="preserve">57 Plastics in primary forms ;</t>
  </si>
  <si>
    <t xml:space="preserve">58 Plastics in non-primary forms ;</t>
  </si>
  <si>
    <t xml:space="preserve">59 Chemical materials and products, nes ;</t>
  </si>
  <si>
    <t xml:space="preserve">6 Manufactured goods classified chiefly by material ;</t>
  </si>
  <si>
    <t xml:space="preserve">61 Leather, leather manufactures, nes, and dressed furskins ;</t>
  </si>
  <si>
    <t xml:space="preserve">62 Rubber manufactures, nes ;</t>
  </si>
  <si>
    <t xml:space="preserve">63 Cork and wood manufactures (excl. furniture) ;</t>
  </si>
  <si>
    <t xml:space="preserve">64 Paper, paperboard and articles of paper pulp, of paper or of paperboard ;</t>
  </si>
  <si>
    <t xml:space="preserve">65 Textile yarn, fabrics, made-up articles nes, and related products ;</t>
  </si>
  <si>
    <t xml:space="preserve">66 Non-metallic mineral manufactures, nes ;</t>
  </si>
  <si>
    <t xml:space="preserve">67 Iron and steel ;</t>
  </si>
  <si>
    <t xml:space="preserve">68 Non-ferrous metals ;</t>
  </si>
  <si>
    <t xml:space="preserve">69 Manufactures of metals, nes ;</t>
  </si>
  <si>
    <t xml:space="preserve">7 Machinery and transport equipment ;</t>
  </si>
  <si>
    <t xml:space="preserve">71 Power generating machinery and equipment ;</t>
  </si>
  <si>
    <t xml:space="preserve">72 Machinery specialized for particular industries ;</t>
  </si>
  <si>
    <t xml:space="preserve">73 Metalworking machinery ;</t>
  </si>
  <si>
    <t xml:space="preserve">74 General industrial machinery and equipment, nes, and machine parts, nes ;</t>
  </si>
  <si>
    <t xml:space="preserve">75 Office machines and automatic data processing machines ;</t>
  </si>
  <si>
    <t xml:space="preserve">76 Telecommunications and sound recording and reproducing apparatus and equipment ;</t>
  </si>
  <si>
    <t xml:space="preserve">77 Electrical machinery, apparatus and appliances, nes, and electrical parts thereof (incl. non electrical counterparts, nes, of electrical household type equipment) ;</t>
  </si>
  <si>
    <t xml:space="preserve">78 Road vehicles (incl. air-cushion vehicles) ;</t>
  </si>
  <si>
    <t xml:space="preserve">79 Transport equipment (excl. road vehicles) ;</t>
  </si>
  <si>
    <t xml:space="preserve">8 Miscellaneous manufactured articles ;</t>
  </si>
  <si>
    <t xml:space="preserve">81 Prefabricated buildings and sanitary, plumbing, heating and lighting fixtures and fittings, nes ;</t>
  </si>
  <si>
    <t xml:space="preserve">82 Furniture and parts thereof; bedding, mattresses, mattress supports, cushions and similar stuffed furnishings ;</t>
  </si>
  <si>
    <t xml:space="preserve">83 Travel goods, handbags and similar containers ;</t>
  </si>
  <si>
    <t xml:space="preserve">84 Articles of apparel and clothing accessories ;</t>
  </si>
  <si>
    <t xml:space="preserve">85 Footwear ;</t>
  </si>
  <si>
    <t xml:space="preserve">87 Professional, scientific and controlling instruments and apparatus, nes ;</t>
  </si>
  <si>
    <t xml:space="preserve">88 Photographic apparatus, equipment and supplies and optical goods, nes; watches and clocks ;</t>
  </si>
  <si>
    <t xml:space="preserve">89 Miscellaneous manufactured articles, nes ;</t>
  </si>
  <si>
    <t xml:space="preserve">9 Commodities and transactions not classified elsewhere in the SITC ;</t>
  </si>
  <si>
    <t xml:space="preserve">93 Special transactions and commodities not classified according to kind ;</t>
  </si>
  <si>
    <t xml:space="preserve">95 Gold coin whether or not legal tender, and other coin being legal tender ;</t>
  </si>
  <si>
    <t xml:space="preserve">96 Coin (excl. gold coin) not being legal tender ;</t>
  </si>
  <si>
    <t xml:space="preserve">97 Gold, non-monetary (excl. gold ores and concentrates) ;</t>
  </si>
  <si>
    <t xml:space="preserve">98 Combined confidential items excluding some of SITC 28099 (exports only) and some of SITC 51099 (imports only) ;</t>
  </si>
  <si>
    <t xml:space="preserve">-1 TOTAL ;</t>
  </si>
  <si>
    <t xml:space="preserve">Unit</t>
  </si>
  <si>
    <t xml:space="preserve">$ Millions</t>
  </si>
  <si>
    <t xml:space="preserve">Series ID</t>
  </si>
  <si>
    <t xml:space="preserve">A1827804K</t>
  </si>
  <si>
    <t xml:space="preserve">A1827805L</t>
  </si>
  <si>
    <t xml:space="preserve">A1827806R</t>
  </si>
  <si>
    <t xml:space="preserve">A1827807T</t>
  </si>
  <si>
    <t xml:space="preserve">A1827808V</t>
  </si>
  <si>
    <t xml:space="preserve">A1827809W</t>
  </si>
  <si>
    <t xml:space="preserve">A1827810F</t>
  </si>
  <si>
    <t xml:space="preserve">A1827811J</t>
  </si>
  <si>
    <t xml:space="preserve">A1827812K</t>
  </si>
  <si>
    <t xml:space="preserve">A1827813L</t>
  </si>
  <si>
    <t xml:space="preserve">A1827814R</t>
  </si>
  <si>
    <t xml:space="preserve">A1827815T</t>
  </si>
  <si>
    <t xml:space="preserve">A1827816V</t>
  </si>
  <si>
    <t xml:space="preserve">A1827817W</t>
  </si>
  <si>
    <t xml:space="preserve">A1827818X</t>
  </si>
  <si>
    <t xml:space="preserve">A1827819A</t>
  </si>
  <si>
    <t xml:space="preserve">A1827820K</t>
  </si>
  <si>
    <t xml:space="preserve">A1827821L</t>
  </si>
  <si>
    <t xml:space="preserve">A1827822R</t>
  </si>
  <si>
    <t xml:space="preserve">A1827823T</t>
  </si>
  <si>
    <t xml:space="preserve">A1827824V</t>
  </si>
  <si>
    <t xml:space="preserve">A1827825W</t>
  </si>
  <si>
    <t xml:space="preserve">A1827826X</t>
  </si>
  <si>
    <t xml:space="preserve">A1827827A</t>
  </si>
  <si>
    <t xml:space="preserve">A1827828C</t>
  </si>
  <si>
    <t xml:space="preserve">A1827829F</t>
  </si>
  <si>
    <t xml:space="preserve">A1827830R</t>
  </si>
  <si>
    <t xml:space="preserve">A1827831T</t>
  </si>
  <si>
    <t xml:space="preserve">A1827832V</t>
  </si>
  <si>
    <t xml:space="preserve">A1827833W</t>
  </si>
  <si>
    <t xml:space="preserve">A1827834X</t>
  </si>
  <si>
    <t xml:space="preserve">A1827835A</t>
  </si>
  <si>
    <t xml:space="preserve">A1827836C</t>
  </si>
  <si>
    <t xml:space="preserve">A1827837F</t>
  </si>
  <si>
    <t xml:space="preserve">A1827838J</t>
  </si>
  <si>
    <t xml:space="preserve">A1827839K</t>
  </si>
  <si>
    <t xml:space="preserve">A1827840V</t>
  </si>
  <si>
    <t xml:space="preserve">A1827841W</t>
  </si>
  <si>
    <t xml:space="preserve">A1827842X</t>
  </si>
  <si>
    <t xml:space="preserve">A1827843A</t>
  </si>
  <si>
    <t xml:space="preserve">A1827844C</t>
  </si>
  <si>
    <t xml:space="preserve">A1827845F</t>
  </si>
  <si>
    <t xml:space="preserve">A1827846J</t>
  </si>
  <si>
    <t xml:space="preserve">A1827847K</t>
  </si>
  <si>
    <t xml:space="preserve">A1827848L</t>
  </si>
  <si>
    <t xml:space="preserve">A1827849R</t>
  </si>
  <si>
    <t xml:space="preserve">A1827850X</t>
  </si>
  <si>
    <t xml:space="preserve">A1827851A</t>
  </si>
  <si>
    <t xml:space="preserve">A1827852C</t>
  </si>
  <si>
    <t xml:space="preserve">A1827853F</t>
  </si>
  <si>
    <t xml:space="preserve">A1827854J</t>
  </si>
  <si>
    <t xml:space="preserve">A1827855K</t>
  </si>
  <si>
    <t xml:space="preserve">A1827856L</t>
  </si>
  <si>
    <t xml:space="preserve">A1827857R</t>
  </si>
  <si>
    <t xml:space="preserve">A1827858T</t>
  </si>
  <si>
    <t xml:space="preserve">A1827859V</t>
  </si>
  <si>
    <t xml:space="preserve">A1827860C</t>
  </si>
  <si>
    <t xml:space="preserve">A1827861F</t>
  </si>
  <si>
    <t xml:space="preserve">A1827862J</t>
  </si>
  <si>
    <t xml:space="preserve">A1827863K</t>
  </si>
  <si>
    <t xml:space="preserve">A1827864L</t>
  </si>
  <si>
    <t xml:space="preserve">A1827865R</t>
  </si>
  <si>
    <t xml:space="preserve">A1827866T</t>
  </si>
  <si>
    <t xml:space="preserve">A1827867V</t>
  </si>
  <si>
    <t xml:space="preserve">A1827868W</t>
  </si>
  <si>
    <t xml:space="preserve">A1827869X</t>
  </si>
  <si>
    <t xml:space="preserve">A1827870J</t>
  </si>
  <si>
    <t xml:space="preserve">A1827871K</t>
  </si>
  <si>
    <t xml:space="preserve">A1827872L</t>
  </si>
  <si>
    <t xml:space="preserve">A1827873R</t>
  </si>
  <si>
    <t xml:space="preserve">A1827874T</t>
  </si>
  <si>
    <t xml:space="preserve">A1827875V</t>
  </si>
  <si>
    <t xml:space="preserve">A1827876W</t>
  </si>
  <si>
    <t xml:space="preserve">A1827877X</t>
  </si>
  <si>
    <t xml:space="preserve">A1827878A</t>
  </si>
  <si>
    <t xml:space="preserve">A1827879C</t>
  </si>
  <si>
    <t xml:space="preserve">A1827880L</t>
  </si>
  <si>
    <t xml:space="preserve">A1827881R</t>
  </si>
  <si>
    <t xml:space="preserve">Y2016</t>
  </si>
  <si>
    <t xml:space="preserve">Y2017</t>
  </si>
  <si>
    <t xml:space="preserve">Y2018</t>
  </si>
  <si>
    <t xml:space="preserve">Y2019</t>
  </si>
  <si>
    <t xml:space="preserve">Y2020</t>
  </si>
  <si>
    <t xml:space="preserve">Y2021</t>
  </si>
  <si>
    <t xml:space="preserve">Y2022</t>
  </si>
  <si>
    <t xml:space="preserve">Y2023</t>
  </si>
  <si>
    <t xml:space="preserve">Y2024</t>
  </si>
  <si>
    <t xml:space="preserve">Y2025</t>
  </si>
  <si>
    <t xml:space="preserve">Import</t>
  </si>
  <si>
    <t xml:space="preserve">A1828644C</t>
  </si>
  <si>
    <t xml:space="preserve">A1828645F</t>
  </si>
  <si>
    <t xml:space="preserve">A1828646J</t>
  </si>
  <si>
    <t xml:space="preserve">A1828647K</t>
  </si>
  <si>
    <t xml:space="preserve">A1828648L</t>
  </si>
  <si>
    <t xml:space="preserve">A1828649R</t>
  </si>
  <si>
    <t xml:space="preserve">A1828650X</t>
  </si>
  <si>
    <t xml:space="preserve">A1828651A</t>
  </si>
  <si>
    <t xml:space="preserve">A1828652C</t>
  </si>
  <si>
    <t xml:space="preserve">A1828653F</t>
  </si>
  <si>
    <t xml:space="preserve">A1828654J</t>
  </si>
  <si>
    <t xml:space="preserve">A1828655K</t>
  </si>
  <si>
    <t xml:space="preserve">A1828656L</t>
  </si>
  <si>
    <t xml:space="preserve">A1828657R</t>
  </si>
  <si>
    <t xml:space="preserve">A1828658T</t>
  </si>
  <si>
    <t xml:space="preserve">A1828659V</t>
  </si>
  <si>
    <t xml:space="preserve">A1828660C</t>
  </si>
  <si>
    <t xml:space="preserve">A1828661F</t>
  </si>
  <si>
    <t xml:space="preserve">A1828662J</t>
  </si>
  <si>
    <t xml:space="preserve">A1828663K</t>
  </si>
  <si>
    <t xml:space="preserve">A1828664L</t>
  </si>
  <si>
    <t xml:space="preserve">A1828665R</t>
  </si>
  <si>
    <t xml:space="preserve">A1828666T</t>
  </si>
  <si>
    <t xml:space="preserve">A1828667V</t>
  </si>
  <si>
    <t xml:space="preserve">A1828668W</t>
  </si>
  <si>
    <t xml:space="preserve">A1828669X</t>
  </si>
  <si>
    <t xml:space="preserve">A1828670J</t>
  </si>
  <si>
    <t xml:space="preserve">A1828671K</t>
  </si>
  <si>
    <t xml:space="preserve">A1828672L</t>
  </si>
  <si>
    <t xml:space="preserve">A1828673R</t>
  </si>
  <si>
    <t xml:space="preserve">A1828674T</t>
  </si>
  <si>
    <t xml:space="preserve">A1828675V</t>
  </si>
  <si>
    <t xml:space="preserve">A1828676W</t>
  </si>
  <si>
    <t xml:space="preserve">A1828677X</t>
  </si>
  <si>
    <t xml:space="preserve">A1828678A</t>
  </si>
  <si>
    <t xml:space="preserve">A1828679C</t>
  </si>
  <si>
    <t xml:space="preserve">A1828680L</t>
  </si>
  <si>
    <t xml:space="preserve">A1828681R</t>
  </si>
  <si>
    <t xml:space="preserve">A1828682T</t>
  </si>
  <si>
    <t xml:space="preserve">A1828683V</t>
  </si>
  <si>
    <t xml:space="preserve">A1828684W</t>
  </si>
  <si>
    <t xml:space="preserve">A1828685X</t>
  </si>
  <si>
    <t xml:space="preserve">A1828686A</t>
  </si>
  <si>
    <t xml:space="preserve">A1828687C</t>
  </si>
  <si>
    <t xml:space="preserve">A1828688F</t>
  </si>
  <si>
    <t xml:space="preserve">A1828689J</t>
  </si>
  <si>
    <t xml:space="preserve">A1828690T</t>
  </si>
  <si>
    <t xml:space="preserve">A1828691V</t>
  </si>
  <si>
    <t xml:space="preserve">A1828692W</t>
  </si>
  <si>
    <t xml:space="preserve">A1828693X</t>
  </si>
  <si>
    <t xml:space="preserve">A1828694A</t>
  </si>
  <si>
    <t xml:space="preserve">A1828695C</t>
  </si>
  <si>
    <t xml:space="preserve">A1828696F</t>
  </si>
  <si>
    <t xml:space="preserve">A1828697J</t>
  </si>
  <si>
    <t xml:space="preserve">A1828698K</t>
  </si>
  <si>
    <t xml:space="preserve">A1828699L</t>
  </si>
  <si>
    <t xml:space="preserve">A1828700K</t>
  </si>
  <si>
    <t xml:space="preserve">A1828701L</t>
  </si>
  <si>
    <t xml:space="preserve">A1828702R</t>
  </si>
  <si>
    <t xml:space="preserve">A1828703T</t>
  </si>
  <si>
    <t xml:space="preserve">A1828704V</t>
  </si>
  <si>
    <t xml:space="preserve">A1828705W</t>
  </si>
  <si>
    <t xml:space="preserve">A1828706X</t>
  </si>
  <si>
    <t xml:space="preserve">A1828707A</t>
  </si>
  <si>
    <t xml:space="preserve">A1828708C</t>
  </si>
  <si>
    <t xml:space="preserve">A1828709F</t>
  </si>
  <si>
    <t xml:space="preserve">A1828710R</t>
  </si>
  <si>
    <t xml:space="preserve">A1828711T</t>
  </si>
  <si>
    <t xml:space="preserve">A1828712V</t>
  </si>
  <si>
    <t xml:space="preserve">A1828713W</t>
  </si>
  <si>
    <t xml:space="preserve">A1828714X</t>
  </si>
  <si>
    <t xml:space="preserve">A1828715A</t>
  </si>
  <si>
    <t xml:space="preserve">A1828716C</t>
  </si>
  <si>
    <t xml:space="preserve">A1828717F</t>
  </si>
  <si>
    <t xml:space="preserve">A1828718J</t>
  </si>
  <si>
    <t xml:space="preserve">A1828719K</t>
  </si>
  <si>
    <t xml:space="preserve">A1828720V</t>
  </si>
  <si>
    <t xml:space="preserve">A1828721W</t>
  </si>
  <si>
    <t xml:space="preserve">Direction</t>
  </si>
  <si>
    <t xml:space="preserve">Code</t>
  </si>
  <si>
    <t xml:space="preserve">Level</t>
  </si>
  <si>
    <t xml:space="preserve">Category</t>
  </si>
  <si>
    <t xml:space="preserve">Value ($ Millions, export)</t>
  </si>
  <si>
    <t xml:space="preserve">0</t>
  </si>
  <si>
    <t xml:space="preserve">main</t>
  </si>
  <si>
    <t xml:space="preserve">Food and live animals</t>
  </si>
  <si>
    <t xml:space="preserve">00</t>
  </si>
  <si>
    <t xml:space="preserve">sub</t>
  </si>
  <si>
    <t xml:space="preserve">Live animals (excl. fish (not marine mammals) crustaceans, molluscs and aquatic invertebrates of SITC Division 03)</t>
  </si>
  <si>
    <t xml:space="preserve">01</t>
  </si>
  <si>
    <t xml:space="preserve">Meat and meat preparations</t>
  </si>
  <si>
    <t xml:space="preserve">02</t>
  </si>
  <si>
    <t xml:space="preserve">Dairy products and birds’ eggs</t>
  </si>
  <si>
    <t xml:space="preserve">03</t>
  </si>
  <si>
    <t xml:space="preserve">Fish (excl. marine mammals) crustaceans, molluscs and aquatic invertebrates, and preparations thereof (excl. extracts and juices of fish, crustaceans, molluscs or other aquatic invertebrates, prepared or preserved of SITC 01710)</t>
  </si>
  <si>
    <t xml:space="preserve">04</t>
  </si>
  <si>
    <t xml:space="preserve">Cereals and cereal preparations</t>
  </si>
  <si>
    <t xml:space="preserve">05</t>
  </si>
  <si>
    <t xml:space="preserve">Vegetables and fruit</t>
  </si>
  <si>
    <t xml:space="preserve">06</t>
  </si>
  <si>
    <t xml:space="preserve">Sugars, sugar preparations and honey</t>
  </si>
  <si>
    <t xml:space="preserve">07</t>
  </si>
  <si>
    <t xml:space="preserve">Coffee, tea, cocoa, spices, and manufactures thereof</t>
  </si>
  <si>
    <t xml:space="preserve">08</t>
  </si>
  <si>
    <t xml:space="preserve">Feeding stuff for animals (excl. unmilled cereals)</t>
  </si>
  <si>
    <t xml:space="preserve">09</t>
  </si>
  <si>
    <t xml:space="preserve">Miscellaneous edible products and preparations</t>
  </si>
  <si>
    <t xml:space="preserve">1</t>
  </si>
  <si>
    <t xml:space="preserve">Beverages and tobacco</t>
  </si>
  <si>
    <t xml:space="preserve">11</t>
  </si>
  <si>
    <t xml:space="preserve">Beverages</t>
  </si>
  <si>
    <t xml:space="preserve">12</t>
  </si>
  <si>
    <t xml:space="preserve">Tobacco and tobacco manufactures</t>
  </si>
  <si>
    <t xml:space="preserve">2</t>
  </si>
  <si>
    <t xml:space="preserve">Crude materials, inedible, except fuels</t>
  </si>
  <si>
    <t xml:space="preserve">21</t>
  </si>
  <si>
    <t xml:space="preserve">Hides, skins and furskins, raw</t>
  </si>
  <si>
    <t xml:space="preserve">22</t>
  </si>
  <si>
    <t xml:space="preserve">Oil-seeds and oleaginous fruits</t>
  </si>
  <si>
    <t xml:space="preserve">23</t>
  </si>
  <si>
    <t xml:space="preserve">Crude rubber (incl. synthetic and reclaimed)</t>
  </si>
  <si>
    <t xml:space="preserve">24</t>
  </si>
  <si>
    <t xml:space="preserve">Cork and wood</t>
  </si>
  <si>
    <t xml:space="preserve">25</t>
  </si>
  <si>
    <t xml:space="preserve">Pulp and waste paper</t>
  </si>
  <si>
    <t xml:space="preserve">26</t>
  </si>
  <si>
    <t xml:space="preserve">Textile fibres (excl. wool tops and other combed wool) and their wastes, not manufactured into yarn or fabric</t>
  </si>
  <si>
    <t xml:space="preserve">27</t>
  </si>
  <si>
    <t xml:space="preserve">Crude fertilizers (excl. those of Division 56) and crude minerals (excl. coal, petroleum and precious stones)</t>
  </si>
  <si>
    <t xml:space="preserve">28</t>
  </si>
  <si>
    <t xml:space="preserve">Metalliferous ores and metal scrap</t>
  </si>
  <si>
    <t xml:space="preserve">29</t>
  </si>
  <si>
    <t xml:space="preserve">Crude animal and vegetable materials, nes</t>
  </si>
  <si>
    <t xml:space="preserve">3</t>
  </si>
  <si>
    <t xml:space="preserve">Mineral fuels, lubricants and related materials</t>
  </si>
  <si>
    <t xml:space="preserve">32</t>
  </si>
  <si>
    <t xml:space="preserve">Coal, coke and briquettes</t>
  </si>
  <si>
    <t xml:space="preserve">33</t>
  </si>
  <si>
    <t xml:space="preserve">Petroleum, petroleum products and related materials</t>
  </si>
  <si>
    <t xml:space="preserve">34</t>
  </si>
  <si>
    <t xml:space="preserve">Gas, natural and manufactured</t>
  </si>
  <si>
    <t xml:space="preserve">4</t>
  </si>
  <si>
    <t xml:space="preserve">Animal and vegetable oils, fats and waxes</t>
  </si>
  <si>
    <t xml:space="preserve">41</t>
  </si>
  <si>
    <t xml:space="preserve">Animal oils and fats</t>
  </si>
  <si>
    <t xml:space="preserve">42</t>
  </si>
  <si>
    <t xml:space="preserve">Fixed vegetable fats and oils, crude, refined or fractionated</t>
  </si>
  <si>
    <t xml:space="preserve">43</t>
  </si>
  <si>
    <t xml:space="preserve">Animal or vegetable fats and oils, processed; waxes of animal or vegetable origin; inedible mixtures or preparations of animal or vegetable fats or oils, nes</t>
  </si>
  <si>
    <t xml:space="preserve">5</t>
  </si>
  <si>
    <t xml:space="preserve">Chemicals and related products, nes</t>
  </si>
  <si>
    <t xml:space="preserve">51</t>
  </si>
  <si>
    <t xml:space="preserve">Organic chemicals</t>
  </si>
  <si>
    <t xml:space="preserve">52</t>
  </si>
  <si>
    <t xml:space="preserve">Inorganic chemicals</t>
  </si>
  <si>
    <t xml:space="preserve">53</t>
  </si>
  <si>
    <t xml:space="preserve">Dyeing, tanning and colouring materials</t>
  </si>
  <si>
    <t xml:space="preserve">54</t>
  </si>
  <si>
    <t xml:space="preserve">Medicinal and pharmaceutical products</t>
  </si>
  <si>
    <t xml:space="preserve">55</t>
  </si>
  <si>
    <t xml:space="preserve">Essential oils and resinoids and perfume materials; toilet, polishing and cleansing preparations</t>
  </si>
  <si>
    <t xml:space="preserve">56</t>
  </si>
  <si>
    <t xml:space="preserve">Fertilisers (excl. those of group 272)</t>
  </si>
  <si>
    <t xml:space="preserve">57</t>
  </si>
  <si>
    <t xml:space="preserve">Plastics in primary forms</t>
  </si>
  <si>
    <t xml:space="preserve">58</t>
  </si>
  <si>
    <t xml:space="preserve">Plastics in non-primary forms</t>
  </si>
  <si>
    <t xml:space="preserve">59</t>
  </si>
  <si>
    <t xml:space="preserve">Chemical materials and products, nes</t>
  </si>
  <si>
    <t xml:space="preserve">6</t>
  </si>
  <si>
    <t xml:space="preserve">Manufactured goods classified chiefly by material</t>
  </si>
  <si>
    <t xml:space="preserve">61</t>
  </si>
  <si>
    <t xml:space="preserve">Leather, leather manufactures, nes, and dressed furskins</t>
  </si>
  <si>
    <t xml:space="preserve">62</t>
  </si>
  <si>
    <t xml:space="preserve">Rubber manufactures, nes</t>
  </si>
  <si>
    <t xml:space="preserve">63</t>
  </si>
  <si>
    <t xml:space="preserve">Cork and wood manufactures (excl. furniture)</t>
  </si>
  <si>
    <t xml:space="preserve">64</t>
  </si>
  <si>
    <t xml:space="preserve">Paper, paperboard and articles of paper pulp, of paper or of paperboard</t>
  </si>
  <si>
    <t xml:space="preserve">65</t>
  </si>
  <si>
    <t xml:space="preserve">Textile yarn, fabrics, made-up articles nes, and related products</t>
  </si>
  <si>
    <t xml:space="preserve">66</t>
  </si>
  <si>
    <t xml:space="preserve">Non-metallic mineral manufactures, nes</t>
  </si>
  <si>
    <t xml:space="preserve">67</t>
  </si>
  <si>
    <t xml:space="preserve">Iron and steel</t>
  </si>
  <si>
    <t xml:space="preserve">68</t>
  </si>
  <si>
    <t xml:space="preserve">Non-ferrous metals</t>
  </si>
  <si>
    <t xml:space="preserve">69</t>
  </si>
  <si>
    <t xml:space="preserve">Manufactures of metals, nes</t>
  </si>
  <si>
    <t xml:space="preserve">7</t>
  </si>
  <si>
    <t xml:space="preserve">Machinery and transport equipment</t>
  </si>
  <si>
    <t xml:space="preserve">71</t>
  </si>
  <si>
    <t xml:space="preserve">Power generating machinery and equipment</t>
  </si>
  <si>
    <t xml:space="preserve">72</t>
  </si>
  <si>
    <t xml:space="preserve">Machinery specialized for particular industries</t>
  </si>
  <si>
    <t xml:space="preserve">73</t>
  </si>
  <si>
    <t xml:space="preserve">Metalworking machinery</t>
  </si>
  <si>
    <t xml:space="preserve">74</t>
  </si>
  <si>
    <t xml:space="preserve">General industrial machinery and equipment, nes, and machine parts, nes</t>
  </si>
  <si>
    <t xml:space="preserve">75</t>
  </si>
  <si>
    <t xml:space="preserve">Office machines and automatic data processing machines</t>
  </si>
  <si>
    <t xml:space="preserve">76</t>
  </si>
  <si>
    <t xml:space="preserve">Telecommunications and sound recording and reproducing apparatus and equipment</t>
  </si>
  <si>
    <t xml:space="preserve">77</t>
  </si>
  <si>
    <t xml:space="preserve">Electrical machinery, apparatus and appliances, nes, and electrical parts thereof (incl. non electrical counterparts, nes, of electrical household type equipment)</t>
  </si>
  <si>
    <t xml:space="preserve">78</t>
  </si>
  <si>
    <t xml:space="preserve">Road vehicles (incl. air-cushion vehicles)</t>
  </si>
  <si>
    <t xml:space="preserve">79</t>
  </si>
  <si>
    <t xml:space="preserve">Transport equipment (excl. road vehicles)</t>
  </si>
  <si>
    <t xml:space="preserve">8</t>
  </si>
  <si>
    <t xml:space="preserve">Miscellaneous manufactured articles</t>
  </si>
  <si>
    <t xml:space="preserve">81</t>
  </si>
  <si>
    <t xml:space="preserve">Prefabricated buildings and sanitary, plumbing, heating and lighting fixtures and fittings, nes</t>
  </si>
  <si>
    <t xml:space="preserve">82</t>
  </si>
  <si>
    <t xml:space="preserve">Furniture and parts thereof; bedding, mattresses, mattress supports, cushions and similar stuffed furnishings</t>
  </si>
  <si>
    <t xml:space="preserve">83</t>
  </si>
  <si>
    <t xml:space="preserve">Travel goods, handbags and similar containers</t>
  </si>
  <si>
    <t xml:space="preserve">84</t>
  </si>
  <si>
    <t xml:space="preserve">Articles of apparel and clothing accessories</t>
  </si>
  <si>
    <t xml:space="preserve">85</t>
  </si>
  <si>
    <t xml:space="preserve">Footwear</t>
  </si>
  <si>
    <t xml:space="preserve">87</t>
  </si>
  <si>
    <t xml:space="preserve">Professional, scientific and controlling instruments and apparatus, nes</t>
  </si>
  <si>
    <t xml:space="preserve">88</t>
  </si>
  <si>
    <t xml:space="preserve">Photographic apparatus, equipment and supplies and optical goods, nes; watches and clocks</t>
  </si>
  <si>
    <t xml:space="preserve">89</t>
  </si>
  <si>
    <t xml:space="preserve">Miscellaneous manufactured articles, nes</t>
  </si>
  <si>
    <t xml:space="preserve">9</t>
  </si>
  <si>
    <t xml:space="preserve">Commodities and transactions not classified elsewhere in the SITC</t>
  </si>
  <si>
    <t xml:space="preserve">93</t>
  </si>
  <si>
    <t xml:space="preserve">Special transactions and commodities not classified according to kind</t>
  </si>
  <si>
    <t xml:space="preserve">95</t>
  </si>
  <si>
    <t xml:space="preserve">Gold coin whether or not legal tender, and other coin being legal tender</t>
  </si>
  <si>
    <t xml:space="preserve">96</t>
  </si>
  <si>
    <t xml:space="preserve">Coin (excl. gold coin) not being legal tender</t>
  </si>
  <si>
    <t xml:space="preserve">97</t>
  </si>
  <si>
    <t xml:space="preserve">Gold, non-monetary (excl. gold ores and concentrates)</t>
  </si>
  <si>
    <t xml:space="preserve">98</t>
  </si>
  <si>
    <t xml:space="preserve">Combined confidential items excluding some of SITC 28099 (exports only) and some of SITC 51099 (imports only)</t>
  </si>
  <si>
    <t xml:space="preserve">-1</t>
  </si>
  <si>
    <t xml:space="preserve">total</t>
  </si>
  <si>
    <t xml:space="preserve">TOTAL</t>
  </si>
  <si>
    <t xml:space="preserve">Value ($ Millions, import)</t>
  </si>
  <si>
    <t xml:space="preserve">Main category analytics, import and export</t>
  </si>
  <si>
    <t xml:space="preserve">Every cell is a live formula that reads the two dataset sheets. Values are in $ Millions unless the block says otherwise.</t>
  </si>
  <si>
    <t xml:space="preserve">Export: value ($ Millions)</t>
  </si>
  <si>
    <t xml:space="preserve">Export: year on year growth</t>
  </si>
  <si>
    <t xml:space="preserve">Export: index (2016 = 100)</t>
  </si>
  <si>
    <t xml:space="preserve">Export: share of export total</t>
  </si>
  <si>
    <t xml:space="preserve">Export: decade summary</t>
  </si>
  <si>
    <t xml:space="preserve">CAGR 2016 to 2025</t>
  </si>
  <si>
    <t xml:space="preserve">Contribution to growth ($ Millions)</t>
  </si>
  <si>
    <t xml:space="preserve">Share of total growth</t>
  </si>
  <si>
    <t xml:space="preserve">Import: value ($ Millions)</t>
  </si>
  <si>
    <t xml:space="preserve">Import: year on year growth</t>
  </si>
  <si>
    <t xml:space="preserve">Import: index (2016 = 100)</t>
  </si>
  <si>
    <t xml:space="preserve">Import: share of import total</t>
  </si>
  <si>
    <t xml:space="preserve">Import: decade summary</t>
  </si>
  <si>
    <t xml:space="preserve">Main category statistics, import and export</t>
  </si>
  <si>
    <t xml:space="preserve">The outlier z-score measures each year of growth against the mean growth of that category. A value above 2 marks an outlier year.</t>
  </si>
  <si>
    <t xml:space="preserve">Export: descriptive and trend statistics ($ Millions)</t>
  </si>
  <si>
    <t xml:space="preserve">Mean</t>
  </si>
  <si>
    <t xml:space="preserve">Median</t>
  </si>
  <si>
    <t xml:space="preserve">Standard deviation</t>
  </si>
  <si>
    <t xml:space="preserve">Coefficient of variation</t>
  </si>
  <si>
    <t xml:space="preserve">Minimum</t>
  </si>
  <si>
    <t xml:space="preserve">Maximum</t>
  </si>
  <si>
    <t xml:space="preserve">Range</t>
  </si>
  <si>
    <t xml:space="preserve">Trend slope ($ Millions per year)</t>
  </si>
  <si>
    <t xml:space="preserve">Trend intercept</t>
  </si>
  <si>
    <t xml:space="preserve">Trend R squared</t>
  </si>
  <si>
    <t xml:space="preserve">Export: outlier z-score of year on year growth</t>
  </si>
  <si>
    <t xml:space="preserve">Import: descriptive and trend statistics ($ Millions)</t>
  </si>
  <si>
    <t xml:space="preserve">Import: outlier z-score of year on year growth</t>
  </si>
  <si>
    <t xml:space="preserve">Trade balance and cover ratio by main category</t>
  </si>
  <si>
    <t xml:space="preserve">Balance is export minus import. Cover ratio is export divided by import. A ratio below 1 means Australia buys more than it sells.</t>
  </si>
  <si>
    <t xml:space="preserve">Trade balance, export minus import ($ Millions)</t>
  </si>
  <si>
    <t xml:space="preserve">TOTAL, all categories</t>
  </si>
  <si>
    <t xml:space="preserve">Cover ratio, export divided by import</t>
  </si>
  <si>
    <t xml:space="preserve">Correlation between main categories, on year on year growth</t>
  </si>
  <si>
    <t xml:space="preserve">Each cell is the correlation of two categories across the nine growth years. A value near zero means the two categories move independently.</t>
  </si>
  <si>
    <t xml:space="preserve">Export: growth correlation matrix</t>
  </si>
  <si>
    <t xml:space="preserve">Import: growth correlation matrix</t>
  </si>
  <si>
    <t xml:space="preserve">Change points for each year, 2017 to 2025</t>
  </si>
  <si>
    <t xml:space="preserve">The helper blocks hold the dollar change of every main category. The summary names the largest rise and the largest fall in each year.</t>
  </si>
  <si>
    <t xml:space="preserve">Export: dollar change by main category ($ Millions)</t>
  </si>
  <si>
    <t xml:space="preserve">Import: dollar change by main category ($ Millions)</t>
  </si>
  <si>
    <t xml:space="preserve">Summary of change points</t>
  </si>
  <si>
    <t xml:space="preserve">Export largest rise</t>
  </si>
  <si>
    <t xml:space="preserve">Export rise ($ Millions)</t>
  </si>
  <si>
    <t xml:space="preserve">Export largest fall</t>
  </si>
  <si>
    <t xml:space="preserve">Export fall ($ Millions)</t>
  </si>
  <si>
    <t xml:space="preserve">Import largest rise</t>
  </si>
  <si>
    <t xml:space="preserve">Import rise ($ Millions)</t>
  </si>
  <si>
    <t xml:space="preserve">Import largest fall</t>
  </si>
  <si>
    <t xml:space="preserve">Import fall ($ Millions)</t>
  </si>
  <si>
    <t xml:space="preserve">Possible cause</t>
  </si>
  <si>
    <t xml:space="preserve">Mineral fuels export rises 23,447 million on higher coal and LNG prices and new LNG capacity. Machinery import rises 14,601 million.</t>
  </si>
  <si>
    <t xml:space="preserve">Mineral fuels export rises 31,120 million as LNG output reaches full capacity. Mineral fuels import rises 10,707 million on a higher oil price.</t>
  </si>
  <si>
    <t xml:space="preserve">Crude materials export rises 29,536 million. Iron ore alone rises 32,099 million after a supply shock cut Brazilian output.</t>
  </si>
  <si>
    <t xml:space="preserve">COVID cuts mineral fuels export 37,467 million and mineral fuels import 15,686 million. Categories 6, 7 and 8 are the statistical outliers of the year.</t>
  </si>
  <si>
    <t xml:space="preserve">Crude materials export rises 46,211 million at the iron ore price peak. Mineral fuels export recovers 37,574 million.</t>
  </si>
  <si>
    <t xml:space="preserve">Mineral fuels export rises 124,939 million after the invasion of Ukraine. Mineral fuels import rises 31,254 million on the same price shock.</t>
  </si>
  <si>
    <t xml:space="preserve">Mineral fuels export falls 55,785 million as energy prices retreat from the 2022 peak. Machinery import still rises 16,455 million.</t>
  </si>
  <si>
    <t xml:space="preserve">Mineral fuels export falls 24,707 million and crude materials export falls 23,373 million as energy and iron ore prices both ease.</t>
  </si>
  <si>
    <t xml:space="preserve">Mineral fuels export falls 30,661 million. Category 9 rises 21,245 million, and gold alone accounts for 23,854 million of that.</t>
  </si>
  <si>
    <t xml:space="preserve">Main category 3 against its subcategories, import and export</t>
  </si>
  <si>
    <t xml:space="preserve">Subcategories 32, 33 and 34 make up main category 3. Every cause argued from this sheet comes from inside the data.</t>
  </si>
  <si>
    <t xml:space="preserve">Export: share of main category 3</t>
  </si>
  <si>
    <t xml:space="preserve">Export: growth correlation against main category 3</t>
  </si>
  <si>
    <t xml:space="preserve">Correlation with main category 3</t>
  </si>
  <si>
    <t xml:space="preserve">Import: share of main category 3</t>
  </si>
  <si>
    <t xml:space="preserve">Import: growth correlation against main category 3</t>
  </si>
  <si>
    <t xml:space="preserve">Focus subcategory 33, Petroleum, petroleum products and related materials</t>
  </si>
  <si>
    <t xml:space="preserve">One row per year. The insight column reads the change in that year against the year before it.</t>
  </si>
  <si>
    <t xml:space="preserve">Export ($ Millions)</t>
  </si>
  <si>
    <t xml:space="preserve">Import ($ Millions)</t>
  </si>
  <si>
    <t xml:space="preserve">Balance ($ Millions)</t>
  </si>
  <si>
    <t xml:space="preserve">Cover ratio</t>
  </si>
  <si>
    <t xml:space="preserve">Export growth</t>
  </si>
  <si>
    <t xml:space="preserve">Import growth</t>
  </si>
  <si>
    <t xml:space="preserve">Export 3 year average</t>
  </si>
  <si>
    <t xml:space="preserve">Import 3 year average</t>
  </si>
  <si>
    <t xml:space="preserve">Export growth z-score</t>
  </si>
  <si>
    <t xml:space="preserve">Import growth z-score</t>
  </si>
  <si>
    <t xml:space="preserve">Insight for the year</t>
  </si>
  <si>
    <t xml:space="preserve">Baseline year. Import is 3.4 times export, so the deficit starts at 16,369 million.</t>
  </si>
  <si>
    <t xml:space="preserve">Import rises 26% against export at 10%, so the deficit widens by 5,334 million.</t>
  </si>
  <si>
    <t xml:space="preserve">Both sides grow near 40%, the fastest of the decade, and the deficit passes 28,000 million.</t>
  </si>
  <si>
    <t xml:space="preserve">Export rises 9% while import falls 4%. This is the only year the deficit narrows while total trade grows.</t>
  </si>
  <si>
    <t xml:space="preserve">COVID cuts import 41% and export 37%. The deficit is the smallest of the decade at 14,965 million.</t>
  </si>
  <si>
    <t xml:space="preserve">Trade rebounds near 50% on both sides and the deficit returns to the 2017 level.</t>
  </si>
  <si>
    <t xml:space="preserve">Import rises 91% and export 48%. The deficit reaches its worst point at 47,741 million.</t>
  </si>
  <si>
    <t xml:space="preserve">The first year of unwind. Import falls 8% and export falls 9%, but the deficit stays above 44,000 million.</t>
  </si>
  <si>
    <t xml:space="preserve">Import falls 6% while export is flat, so the deficit narrows for a third year.</t>
  </si>
  <si>
    <t xml:space="preserve">Import falls 6% to 52,742 million, still 2.3 times the 2016 level. The deficit settles at 38,555 million.</t>
  </si>
  <si>
    <t xml:space="preserve">Subcategory 33 against the other subcategories of main category 3</t>
  </si>
  <si>
    <t xml:space="preserve">Petroleum is compared against coal and against gas on levels, on growth and on correlation, for import and for export.</t>
  </si>
  <si>
    <t xml:space="preserve">Pairwise growth correlation</t>
  </si>
  <si>
    <t xml:space="preserve">Pair</t>
  </si>
  <si>
    <t xml:space="preserve">Export correlation</t>
  </si>
  <si>
    <t xml:space="preserve">Import correlation</t>
  </si>
  <si>
    <t xml:space="preserve">Import against export of subcategory 33</t>
  </si>
  <si>
    <t xml:space="preserve">33 against 32</t>
  </si>
  <si>
    <t xml:space="preserve">33 against 34</t>
  </si>
  <si>
    <t xml:space="preserve">32 against 34</t>
  </si>
  <si>
    <t xml:space="preserve">Subcategory 33 import, ten year trend and five year forecast</t>
  </si>
  <si>
    <t xml:space="preserve">Two forecast methods, both live formulas. The linear trend fits a straight line to 2016 to 2025. The CAGR method grows the 2025 value at the decade rate.</t>
  </si>
  <si>
    <t xml:space="preserve">Actual import ($ Millions)</t>
  </si>
  <si>
    <t xml:space="preserve">Linear trend forecast ($ Millions)</t>
  </si>
  <si>
    <t xml:space="preserve">CAGR forecast ($ Millions)</t>
  </si>
  <si>
    <t xml:space="preserve">Target path ($ Millions)</t>
  </si>
  <si>
    <t xml:space="preserve">Linear forecast less target ($ Millions)</t>
  </si>
  <si>
    <t xml:space="preserve">Ten year outcome and the five year target</t>
  </si>
  <si>
    <t xml:space="preserve">Import 2016 ($ Millions)</t>
  </si>
  <si>
    <t xml:space="preserve">Import 2025 ($ Millions)</t>
  </si>
  <si>
    <t xml:space="preserve">Change 2016 to 2025 ($ Millions)</t>
  </si>
  <si>
    <t xml:space="preserve">Change 2016 to 2025 (percent)</t>
  </si>
  <si>
    <t xml:space="preserve">Import CAGR 2016 to 2025</t>
  </si>
  <si>
    <t xml:space="preserve">Linear trend slope ($ Millions per year)</t>
  </si>
  <si>
    <t xml:space="preserve">Linear trend R squared</t>
  </si>
  <si>
    <t xml:space="preserve">Balance 2016 ($ Millions)</t>
  </si>
  <si>
    <t xml:space="preserve">Balance 2025 ($ Millions)</t>
  </si>
  <si>
    <t xml:space="preserve">Target reduction rate each year</t>
  </si>
  <si>
    <t xml:space="preserve">Target import 2030 ($ Millions)</t>
  </si>
  <si>
    <t xml:space="preserve">Linear forecast 2030 less target ($ Millions)</t>
  </si>
  <si>
    <t xml:space="preserve">My forecast against the AI forecast, subcategory 33 import</t>
  </si>
  <si>
    <t xml:space="preserve">The AI received the ten annual values and nothing else. It saw none of this analysis.</t>
  </si>
  <si>
    <t xml:space="preserve">My linear trend ($ Millions)</t>
  </si>
  <si>
    <t xml:space="preserve">My CAGR method ($ Millions)</t>
  </si>
  <si>
    <t xml:space="preserve">AI forecast ($ Millions)</t>
  </si>
  <si>
    <t xml:space="preserve">AI less my linear trend ($ Millions)</t>
  </si>
  <si>
    <t xml:space="preserve">AI less my linear trend (percent)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</si>
</sst>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#,##0.0"/>
    <numFmt numFmtId="168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mbria"/>
      <family val="0"/>
      <charset val="1"/>
    </font>
    <font>
      <b val="true"/>
      <sz val="13"/>
      <color rgb="FF1F386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00"/>
      </patternFill>
    </fill>
    <fill>
      <patternFill patternType="solid">
        <fgColor rgb="FFDDEBF7"/>
        <bgColor rgb="FFD9D9D9"/>
      </patternFill>
    </fill>
    <fill>
      <patternFill patternType="solid">
        <fgColor rgb="FFFCE4D6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7A44B"/>
      <rgbColor rgb="FF800080"/>
      <rgbColor rgb="FF4A7EBB"/>
      <rgbColor rgb="FFBFBFBF"/>
      <rgbColor rgb="FF878787"/>
      <rgbColor rgb="FF93A9CE"/>
      <rgbColor rgb="FFAA433F"/>
      <rgbColor rgb="FFFCE4D6"/>
      <rgbColor rgb="FFDDEBF7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8EA5CA"/>
      <rgbColor rgb="FFB3C992"/>
      <rgbColor rgb="FFFFFF99"/>
      <rgbColor rgb="FF8CBFD2"/>
      <rgbColor rgb="FFD09493"/>
      <rgbColor rgb="FFA99BBD"/>
      <rgbColor rgb="FFB8CD97"/>
      <rgbColor rgb="FF426FA6"/>
      <rgbColor rgb="FF4299B0"/>
      <rgbColor rgb="FF98B855"/>
      <rgbColor rgb="FF8AA64F"/>
      <rgbColor rgb="FFDB8238"/>
      <rgbColor rgb="FFCC8F8E"/>
      <rgbColor rgb="FF725990"/>
      <rgbColor rgb="FFA596B9"/>
      <rgbColor rgb="FF1F3864"/>
      <rgbColor rgb="FF3D97AF"/>
      <rgbColor rgb="FF003300"/>
      <rgbColor rgb="FF333300"/>
      <rgbColor rgb="FFBE4B48"/>
      <rgbColor rgb="FFAB4744"/>
      <rgbColor rgb="FF6F568D"/>
      <rgbColor rgb="FF7D5FA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Export by main category, 2016 to 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'Main-Analytics'!B6</c:f>
              <c:strCache>
                <c:ptCount val="1"/>
                <c:pt idx="0">
                  <c:v>Food and live animals</c:v>
                </c:pt>
              </c:strCache>
            </c:strRef>
          </c:tx>
          <c:spPr>
            <a:solidFill>
              <a:srgbClr val="426fa6"/>
            </a:solidFill>
            <a:ln w="1260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'Main-Analytics'!$C$5:$L$5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'Main-Analytics'!$C$6:$L$6</c:f>
              <c:numCache>
                <c:formatCode>#,##0</c:formatCode>
                <c:ptCount val="10"/>
                <c:pt idx="0">
                  <c:v>32621</c:v>
                </c:pt>
                <c:pt idx="1">
                  <c:v>36596</c:v>
                </c:pt>
                <c:pt idx="2">
                  <c:v>35271</c:v>
                </c:pt>
                <c:pt idx="3">
                  <c:v>37649</c:v>
                </c:pt>
                <c:pt idx="4">
                  <c:v>35628</c:v>
                </c:pt>
                <c:pt idx="5">
                  <c:v>43540</c:v>
                </c:pt>
                <c:pt idx="6">
                  <c:v>53122</c:v>
                </c:pt>
                <c:pt idx="7">
                  <c:v>54749</c:v>
                </c:pt>
                <c:pt idx="8">
                  <c:v>52562</c:v>
                </c:pt>
                <c:pt idx="9">
                  <c:v>62043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'Main-Analytics'!B7</c:f>
              <c:strCache>
                <c:ptCount val="1"/>
                <c:pt idx="0">
                  <c:v>Beverages and tobacco</c:v>
                </c:pt>
              </c:strCache>
            </c:strRef>
          </c:tx>
          <c:spPr>
            <a:solidFill>
              <a:srgbClr val="aa433f"/>
            </a:solidFill>
            <a:ln w="1260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'Main-Analytics'!$C$5:$L$5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'Main-Analytics'!$C$7:$L$7</c:f>
              <c:numCache>
                <c:formatCode>#,##0</c:formatCode>
                <c:ptCount val="10"/>
                <c:pt idx="0">
                  <c:v>2679</c:v>
                </c:pt>
                <c:pt idx="1">
                  <c:v>3031</c:v>
                </c:pt>
                <c:pt idx="2">
                  <c:v>3377</c:v>
                </c:pt>
                <c:pt idx="3">
                  <c:v>3582</c:v>
                </c:pt>
                <c:pt idx="4">
                  <c:v>3283</c:v>
                </c:pt>
                <c:pt idx="5">
                  <c:v>2523</c:v>
                </c:pt>
                <c:pt idx="6">
                  <c:v>2572</c:v>
                </c:pt>
                <c:pt idx="7">
                  <c:v>2548</c:v>
                </c:pt>
                <c:pt idx="8">
                  <c:v>3179</c:v>
                </c:pt>
                <c:pt idx="9">
                  <c:v>3066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'Main-Analytics'!B8</c:f>
              <c:strCache>
                <c:ptCount val="1"/>
                <c:pt idx="0">
                  <c:v>Crude materials, inedible, except fuels</c:v>
                </c:pt>
              </c:strCache>
            </c:strRef>
          </c:tx>
          <c:spPr>
            <a:solidFill>
              <a:srgbClr val="87a44b"/>
            </a:solidFill>
            <a:ln w="1260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'Main-Analytics'!$C$5:$L$5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'Main-Analytics'!$C$8:$L$8</c:f>
              <c:numCache>
                <c:formatCode>#,##0</c:formatCode>
                <c:ptCount val="10"/>
                <c:pt idx="0">
                  <c:v>83621</c:v>
                </c:pt>
                <c:pt idx="1">
                  <c:v>99473</c:v>
                </c:pt>
                <c:pt idx="2">
                  <c:v>106879</c:v>
                </c:pt>
                <c:pt idx="3">
                  <c:v>136415</c:v>
                </c:pt>
                <c:pt idx="4">
                  <c:v>151968</c:v>
                </c:pt>
                <c:pt idx="5">
                  <c:v>198179</c:v>
                </c:pt>
                <c:pt idx="6">
                  <c:v>188296</c:v>
                </c:pt>
                <c:pt idx="7">
                  <c:v>202961</c:v>
                </c:pt>
                <c:pt idx="8">
                  <c:v>179588</c:v>
                </c:pt>
                <c:pt idx="9">
                  <c:v>180651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'Main-Analytics'!B9</c:f>
              <c:strCache>
                <c:ptCount val="1"/>
                <c:pt idx="0">
                  <c:v>Mineral fuels, lubricants and related materials</c:v>
                </c:pt>
              </c:strCache>
            </c:strRef>
          </c:tx>
          <c:spPr>
            <a:solidFill>
              <a:srgbClr val="6f568d"/>
            </a:solidFill>
            <a:ln w="1260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'Main-Analytics'!$C$5:$L$5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'Main-Analytics'!$C$9:$L$9</c:f>
              <c:numCache>
                <c:formatCode>#,##0</c:formatCode>
                <c:ptCount val="10"/>
                <c:pt idx="0">
                  <c:v>67702</c:v>
                </c:pt>
                <c:pt idx="1">
                  <c:v>91149</c:v>
                </c:pt>
                <c:pt idx="2">
                  <c:v>122269</c:v>
                </c:pt>
                <c:pt idx="3">
                  <c:v>126288</c:v>
                </c:pt>
                <c:pt idx="4">
                  <c:v>88821</c:v>
                </c:pt>
                <c:pt idx="5">
                  <c:v>126395</c:v>
                </c:pt>
                <c:pt idx="6">
                  <c:v>251334</c:v>
                </c:pt>
                <c:pt idx="7">
                  <c:v>195549</c:v>
                </c:pt>
                <c:pt idx="8">
                  <c:v>170842</c:v>
                </c:pt>
                <c:pt idx="9">
                  <c:v>140181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'Main-Analytics'!B10</c:f>
              <c:strCache>
                <c:ptCount val="1"/>
                <c:pt idx="0">
                  <c:v>Animal and vegetable oils, fats and waxes</c:v>
                </c:pt>
              </c:strCache>
            </c:strRef>
          </c:tx>
          <c:spPr>
            <a:solidFill>
              <a:srgbClr val="3d97af"/>
            </a:solidFill>
            <a:ln w="1260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'Main-Analytics'!$C$5:$L$5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'Main-Analytics'!$C$10:$L$10</c:f>
              <c:numCache>
                <c:formatCode>#,##0</c:formatCode>
                <c:ptCount val="10"/>
                <c:pt idx="0">
                  <c:v>675</c:v>
                </c:pt>
                <c:pt idx="1">
                  <c:v>680</c:v>
                </c:pt>
                <c:pt idx="2">
                  <c:v>663</c:v>
                </c:pt>
                <c:pt idx="3">
                  <c:v>647</c:v>
                </c:pt>
                <c:pt idx="4">
                  <c:v>761</c:v>
                </c:pt>
                <c:pt idx="5">
                  <c:v>1085</c:v>
                </c:pt>
                <c:pt idx="6">
                  <c:v>1682</c:v>
                </c:pt>
                <c:pt idx="7">
                  <c:v>1609</c:v>
                </c:pt>
                <c:pt idx="8">
                  <c:v>1397</c:v>
                </c:pt>
                <c:pt idx="9">
                  <c:v>1806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'Main-Analytics'!B11</c:f>
              <c:strCache>
                <c:ptCount val="1"/>
                <c:pt idx="0">
                  <c:v>Chemicals and related products, nes</c:v>
                </c:pt>
              </c:strCache>
            </c:strRef>
          </c:tx>
          <c:spPr>
            <a:solidFill>
              <a:srgbClr val="db8238"/>
            </a:solidFill>
            <a:ln w="1260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'Main-Analytics'!$C$5:$L$5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'Main-Analytics'!$C$11:$L$11</c:f>
              <c:numCache>
                <c:formatCode>#,##0</c:formatCode>
                <c:ptCount val="10"/>
                <c:pt idx="0">
                  <c:v>8367</c:v>
                </c:pt>
                <c:pt idx="1">
                  <c:v>8643</c:v>
                </c:pt>
                <c:pt idx="2">
                  <c:v>10510</c:v>
                </c:pt>
                <c:pt idx="3">
                  <c:v>11971</c:v>
                </c:pt>
                <c:pt idx="4">
                  <c:v>11092</c:v>
                </c:pt>
                <c:pt idx="5">
                  <c:v>10052</c:v>
                </c:pt>
                <c:pt idx="6">
                  <c:v>12575</c:v>
                </c:pt>
                <c:pt idx="7">
                  <c:v>11484</c:v>
                </c:pt>
                <c:pt idx="8">
                  <c:v>12272</c:v>
                </c:pt>
                <c:pt idx="9">
                  <c:v>12141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'Main-Analytics'!B12</c:f>
              <c:strCache>
                <c:ptCount val="1"/>
                <c:pt idx="0">
                  <c:v>Manufactured goods classified chiefly by material</c:v>
                </c:pt>
              </c:strCache>
            </c:strRef>
          </c:tx>
          <c:spPr>
            <a:solidFill>
              <a:srgbClr val="8ea5ca"/>
            </a:solidFill>
            <a:ln w="1260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'Main-Analytics'!$C$5:$L$5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'Main-Analytics'!$C$12:$L$12</c:f>
              <c:numCache>
                <c:formatCode>#,##0</c:formatCode>
                <c:ptCount val="10"/>
                <c:pt idx="0">
                  <c:v>13406</c:v>
                </c:pt>
                <c:pt idx="1">
                  <c:v>14749</c:v>
                </c:pt>
                <c:pt idx="2">
                  <c:v>17031</c:v>
                </c:pt>
                <c:pt idx="3">
                  <c:v>17567</c:v>
                </c:pt>
                <c:pt idx="4">
                  <c:v>14708</c:v>
                </c:pt>
                <c:pt idx="5">
                  <c:v>16703</c:v>
                </c:pt>
                <c:pt idx="6">
                  <c:v>19431</c:v>
                </c:pt>
                <c:pt idx="7">
                  <c:v>19357</c:v>
                </c:pt>
                <c:pt idx="8">
                  <c:v>20515</c:v>
                </c:pt>
                <c:pt idx="9">
                  <c:v>22719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'Main-Analytics'!B13</c:f>
              <c:strCache>
                <c:ptCount val="1"/>
                <c:pt idx="0">
                  <c:v>Machinery and transport equipment</c:v>
                </c:pt>
              </c:strCache>
            </c:strRef>
          </c:tx>
          <c:spPr>
            <a:solidFill>
              <a:srgbClr val="cc8f8e"/>
            </a:solidFill>
            <a:ln w="1260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'Main-Analytics'!$C$5:$L$5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'Main-Analytics'!$C$13:$L$13</c:f>
              <c:numCache>
                <c:formatCode>#,##0</c:formatCode>
                <c:ptCount val="10"/>
                <c:pt idx="0">
                  <c:v>15387</c:v>
                </c:pt>
                <c:pt idx="1">
                  <c:v>14638</c:v>
                </c:pt>
                <c:pt idx="2">
                  <c:v>15352</c:v>
                </c:pt>
                <c:pt idx="3">
                  <c:v>16992</c:v>
                </c:pt>
                <c:pt idx="4">
                  <c:v>14678</c:v>
                </c:pt>
                <c:pt idx="5">
                  <c:v>14728</c:v>
                </c:pt>
                <c:pt idx="6">
                  <c:v>16516</c:v>
                </c:pt>
                <c:pt idx="7">
                  <c:v>18604</c:v>
                </c:pt>
                <c:pt idx="8">
                  <c:v>20484</c:v>
                </c:pt>
                <c:pt idx="9">
                  <c:v>22210</c:v>
                </c:pt>
              </c:numCache>
            </c:numRef>
          </c:val>
          <c:smooth val="1"/>
        </c:ser>
        <c:ser>
          <c:idx val="8"/>
          <c:order val="8"/>
          <c:tx>
            <c:strRef>
              <c:f>'Main-Analytics'!B14</c:f>
              <c:strCache>
                <c:ptCount val="1"/>
                <c:pt idx="0">
                  <c:v>Miscellaneous manufactured articles</c:v>
                </c:pt>
              </c:strCache>
            </c:strRef>
          </c:tx>
          <c:spPr>
            <a:solidFill>
              <a:srgbClr val="b3c992"/>
            </a:solidFill>
            <a:ln w="1260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'Main-Analytics'!$C$5:$L$5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'Main-Analytics'!$C$14:$L$14</c:f>
              <c:numCache>
                <c:formatCode>#,##0</c:formatCode>
                <c:ptCount val="10"/>
                <c:pt idx="0">
                  <c:v>6558</c:v>
                </c:pt>
                <c:pt idx="1">
                  <c:v>6857</c:v>
                </c:pt>
                <c:pt idx="2">
                  <c:v>7288</c:v>
                </c:pt>
                <c:pt idx="3">
                  <c:v>8208</c:v>
                </c:pt>
                <c:pt idx="4">
                  <c:v>7376</c:v>
                </c:pt>
                <c:pt idx="5">
                  <c:v>8036</c:v>
                </c:pt>
                <c:pt idx="6">
                  <c:v>9077</c:v>
                </c:pt>
                <c:pt idx="7">
                  <c:v>10517</c:v>
                </c:pt>
                <c:pt idx="8">
                  <c:v>10974</c:v>
                </c:pt>
                <c:pt idx="9">
                  <c:v>11863</c:v>
                </c:pt>
              </c:numCache>
            </c:numRef>
          </c:val>
          <c:smooth val="1"/>
        </c:ser>
        <c:ser>
          <c:idx val="9"/>
          <c:order val="9"/>
          <c:tx>
            <c:strRef>
              <c:f>'Main-Analytics'!B15</c:f>
              <c:strCache>
                <c:ptCount val="1"/>
                <c:pt idx="0">
                  <c:v>Commodities and transactions not classified elsewhere in the SITC</c:v>
                </c:pt>
              </c:strCache>
            </c:strRef>
          </c:tx>
          <c:spPr>
            <a:solidFill>
              <a:srgbClr val="a596b9"/>
            </a:solidFill>
            <a:ln w="1260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'Main-Analytics'!$C$5:$L$5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'Main-Analytics'!$C$15:$L$15</c:f>
              <c:numCache>
                <c:formatCode>#,##0</c:formatCode>
                <c:ptCount val="10"/>
                <c:pt idx="0">
                  <c:v>27452</c:v>
                </c:pt>
                <c:pt idx="1">
                  <c:v>25523</c:v>
                </c:pt>
                <c:pt idx="2">
                  <c:v>25975</c:v>
                </c:pt>
                <c:pt idx="3">
                  <c:v>30661</c:v>
                </c:pt>
                <c:pt idx="4">
                  <c:v>34408</c:v>
                </c:pt>
                <c:pt idx="5">
                  <c:v>36933</c:v>
                </c:pt>
                <c:pt idx="6">
                  <c:v>39255</c:v>
                </c:pt>
                <c:pt idx="7">
                  <c:v>41247</c:v>
                </c:pt>
                <c:pt idx="8">
                  <c:v>45169</c:v>
                </c:pt>
                <c:pt idx="9">
                  <c:v>66414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8369695"/>
        <c:axId val="60750065"/>
      </c:lineChart>
      <c:catAx>
        <c:axId val="3836969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0750065"/>
        <c:crosses val="autoZero"/>
        <c:auto val="1"/>
        <c:lblAlgn val="ctr"/>
        <c:lblOffset val="100"/>
        <c:noMultiLvlLbl val="0"/>
      </c:catAx>
      <c:valAx>
        <c:axId val="607500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$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36969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Import by main category, 2016 to 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'Main-Analytics'!B71</c:f>
              <c:strCache>
                <c:ptCount val="1"/>
                <c:pt idx="0">
                  <c:v>Food and live animals</c:v>
                </c:pt>
              </c:strCache>
            </c:strRef>
          </c:tx>
          <c:spPr>
            <a:solidFill>
              <a:srgbClr val="426fa6"/>
            </a:solidFill>
            <a:ln w="1260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'Main-Analytics'!$C$70:$L$70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'Main-Analytics'!$C$71:$L$71</c:f>
              <c:numCache>
                <c:formatCode>#,##0</c:formatCode>
                <c:ptCount val="10"/>
                <c:pt idx="0">
                  <c:v>13977</c:v>
                </c:pt>
                <c:pt idx="1">
                  <c:v>14304</c:v>
                </c:pt>
                <c:pt idx="2">
                  <c:v>15132</c:v>
                </c:pt>
                <c:pt idx="3">
                  <c:v>16938</c:v>
                </c:pt>
                <c:pt idx="4">
                  <c:v>17607</c:v>
                </c:pt>
                <c:pt idx="5">
                  <c:v>16410</c:v>
                </c:pt>
                <c:pt idx="6">
                  <c:v>19518</c:v>
                </c:pt>
                <c:pt idx="7">
                  <c:v>19684</c:v>
                </c:pt>
                <c:pt idx="8">
                  <c:v>22293</c:v>
                </c:pt>
                <c:pt idx="9">
                  <c:v>24515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'Main-Analytics'!B72</c:f>
              <c:strCache>
                <c:ptCount val="1"/>
                <c:pt idx="0">
                  <c:v>Beverages and tobacco</c:v>
                </c:pt>
              </c:strCache>
            </c:strRef>
          </c:tx>
          <c:spPr>
            <a:solidFill>
              <a:srgbClr val="aa433f"/>
            </a:solidFill>
            <a:ln w="1260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'Main-Analytics'!$C$70:$L$70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'Main-Analytics'!$C$72:$L$72</c:f>
              <c:numCache>
                <c:formatCode>#,##0</c:formatCode>
                <c:ptCount val="10"/>
                <c:pt idx="0">
                  <c:v>3271</c:v>
                </c:pt>
                <c:pt idx="1">
                  <c:v>3285</c:v>
                </c:pt>
                <c:pt idx="2">
                  <c:v>3541</c:v>
                </c:pt>
                <c:pt idx="3">
                  <c:v>3798</c:v>
                </c:pt>
                <c:pt idx="4">
                  <c:v>3475</c:v>
                </c:pt>
                <c:pt idx="5">
                  <c:v>3449</c:v>
                </c:pt>
                <c:pt idx="6">
                  <c:v>3850</c:v>
                </c:pt>
                <c:pt idx="7">
                  <c:v>3518</c:v>
                </c:pt>
                <c:pt idx="8">
                  <c:v>3349</c:v>
                </c:pt>
                <c:pt idx="9">
                  <c:v>3378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'Main-Analytics'!B73</c:f>
              <c:strCache>
                <c:ptCount val="1"/>
                <c:pt idx="0">
                  <c:v>Crude materials, inedible, except fuels</c:v>
                </c:pt>
              </c:strCache>
            </c:strRef>
          </c:tx>
          <c:spPr>
            <a:solidFill>
              <a:srgbClr val="87a44b"/>
            </a:solidFill>
            <a:ln w="1260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'Main-Analytics'!$C$70:$L$70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'Main-Analytics'!$C$73:$L$73</c:f>
              <c:numCache>
                <c:formatCode>#,##0</c:formatCode>
                <c:ptCount val="10"/>
                <c:pt idx="0">
                  <c:v>3206</c:v>
                </c:pt>
                <c:pt idx="1">
                  <c:v>3544</c:v>
                </c:pt>
                <c:pt idx="2">
                  <c:v>3985</c:v>
                </c:pt>
                <c:pt idx="3">
                  <c:v>3138</c:v>
                </c:pt>
                <c:pt idx="4">
                  <c:v>3257</c:v>
                </c:pt>
                <c:pt idx="5">
                  <c:v>4247</c:v>
                </c:pt>
                <c:pt idx="6">
                  <c:v>4653</c:v>
                </c:pt>
                <c:pt idx="7">
                  <c:v>3931</c:v>
                </c:pt>
                <c:pt idx="8">
                  <c:v>4119</c:v>
                </c:pt>
                <c:pt idx="9">
                  <c:v>5285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'Main-Analytics'!B74</c:f>
              <c:strCache>
                <c:ptCount val="1"/>
                <c:pt idx="0">
                  <c:v>Mineral fuels, lubricants and related materials</c:v>
                </c:pt>
              </c:strCache>
            </c:strRef>
          </c:tx>
          <c:spPr>
            <a:solidFill>
              <a:srgbClr val="6f568d"/>
            </a:solidFill>
            <a:ln w="1260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'Main-Analytics'!$C$70:$L$70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'Main-Analytics'!$C$74:$L$74</c:f>
              <c:numCache>
                <c:formatCode>#,##0</c:formatCode>
                <c:ptCount val="10"/>
                <c:pt idx="0">
                  <c:v>23604</c:v>
                </c:pt>
                <c:pt idx="1">
                  <c:v>29805</c:v>
                </c:pt>
                <c:pt idx="2">
                  <c:v>40512</c:v>
                </c:pt>
                <c:pt idx="3">
                  <c:v>38794</c:v>
                </c:pt>
                <c:pt idx="4">
                  <c:v>23108</c:v>
                </c:pt>
                <c:pt idx="5">
                  <c:v>34552</c:v>
                </c:pt>
                <c:pt idx="6">
                  <c:v>65806</c:v>
                </c:pt>
                <c:pt idx="7">
                  <c:v>60651</c:v>
                </c:pt>
                <c:pt idx="8">
                  <c:v>56749</c:v>
                </c:pt>
                <c:pt idx="9">
                  <c:v>53258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'Main-Analytics'!B75</c:f>
              <c:strCache>
                <c:ptCount val="1"/>
                <c:pt idx="0">
                  <c:v>Animal and vegetable oils, fats and waxes</c:v>
                </c:pt>
              </c:strCache>
            </c:strRef>
          </c:tx>
          <c:spPr>
            <a:solidFill>
              <a:srgbClr val="3d97af"/>
            </a:solidFill>
            <a:ln w="1260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'Main-Analytics'!$C$70:$L$70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'Main-Analytics'!$C$75:$L$75</c:f>
              <c:numCache>
                <c:formatCode>#,##0</c:formatCode>
                <c:ptCount val="10"/>
                <c:pt idx="0">
                  <c:v>700</c:v>
                </c:pt>
                <c:pt idx="1">
                  <c:v>702</c:v>
                </c:pt>
                <c:pt idx="2">
                  <c:v>756</c:v>
                </c:pt>
                <c:pt idx="3">
                  <c:v>725</c:v>
                </c:pt>
                <c:pt idx="4">
                  <c:v>766</c:v>
                </c:pt>
                <c:pt idx="5">
                  <c:v>831</c:v>
                </c:pt>
                <c:pt idx="6">
                  <c:v>1094</c:v>
                </c:pt>
                <c:pt idx="7">
                  <c:v>988</c:v>
                </c:pt>
                <c:pt idx="8">
                  <c:v>1257</c:v>
                </c:pt>
                <c:pt idx="9">
                  <c:v>1282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'Main-Analytics'!B76</c:f>
              <c:strCache>
                <c:ptCount val="1"/>
                <c:pt idx="0">
                  <c:v>Chemicals and related products, nes</c:v>
                </c:pt>
              </c:strCache>
            </c:strRef>
          </c:tx>
          <c:spPr>
            <a:solidFill>
              <a:srgbClr val="db8238"/>
            </a:solidFill>
            <a:ln w="1260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'Main-Analytics'!$C$70:$L$70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'Main-Analytics'!$C$76:$L$76</c:f>
              <c:numCache>
                <c:formatCode>#,##0</c:formatCode>
                <c:ptCount val="10"/>
                <c:pt idx="0">
                  <c:v>27705</c:v>
                </c:pt>
                <c:pt idx="1">
                  <c:v>28054</c:v>
                </c:pt>
                <c:pt idx="2">
                  <c:v>29837</c:v>
                </c:pt>
                <c:pt idx="3">
                  <c:v>31024</c:v>
                </c:pt>
                <c:pt idx="4">
                  <c:v>33291</c:v>
                </c:pt>
                <c:pt idx="5">
                  <c:v>37021</c:v>
                </c:pt>
                <c:pt idx="6">
                  <c:v>51393</c:v>
                </c:pt>
                <c:pt idx="7">
                  <c:v>42831</c:v>
                </c:pt>
                <c:pt idx="8">
                  <c:v>45032</c:v>
                </c:pt>
                <c:pt idx="9">
                  <c:v>47675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'Main-Analytics'!B77</c:f>
              <c:strCache>
                <c:ptCount val="1"/>
                <c:pt idx="0">
                  <c:v>Manufactured goods classified chiefly by material</c:v>
                </c:pt>
              </c:strCache>
            </c:strRef>
          </c:tx>
          <c:spPr>
            <a:solidFill>
              <a:srgbClr val="8ea5ca"/>
            </a:solidFill>
            <a:ln w="1260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'Main-Analytics'!$C$70:$L$70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'Main-Analytics'!$C$77:$L$77</c:f>
              <c:numCache>
                <c:formatCode>#,##0</c:formatCode>
                <c:ptCount val="10"/>
                <c:pt idx="0">
                  <c:v>28223</c:v>
                </c:pt>
                <c:pt idx="1">
                  <c:v>28701</c:v>
                </c:pt>
                <c:pt idx="2">
                  <c:v>32443</c:v>
                </c:pt>
                <c:pt idx="3">
                  <c:v>32286</c:v>
                </c:pt>
                <c:pt idx="4">
                  <c:v>34399</c:v>
                </c:pt>
                <c:pt idx="5">
                  <c:v>36977</c:v>
                </c:pt>
                <c:pt idx="6">
                  <c:v>44021</c:v>
                </c:pt>
                <c:pt idx="7">
                  <c:v>40640</c:v>
                </c:pt>
                <c:pt idx="8">
                  <c:v>43611</c:v>
                </c:pt>
                <c:pt idx="9">
                  <c:v>45872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'Main-Analytics'!B78</c:f>
              <c:strCache>
                <c:ptCount val="1"/>
                <c:pt idx="0">
                  <c:v>Machinery and transport equipment</c:v>
                </c:pt>
              </c:strCache>
            </c:strRef>
          </c:tx>
          <c:spPr>
            <a:solidFill>
              <a:srgbClr val="cc8f8e"/>
            </a:solidFill>
            <a:ln w="1260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'Main-Analytics'!$C$70:$L$70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'Main-Analytics'!$C$78:$L$78</c:f>
              <c:numCache>
                <c:formatCode>#,##0</c:formatCode>
                <c:ptCount val="10"/>
                <c:pt idx="0">
                  <c:v>103332</c:v>
                </c:pt>
                <c:pt idx="1">
                  <c:v>117933</c:v>
                </c:pt>
                <c:pt idx="2">
                  <c:v>121404</c:v>
                </c:pt>
                <c:pt idx="3">
                  <c:v>123286</c:v>
                </c:pt>
                <c:pt idx="4">
                  <c:v>119746</c:v>
                </c:pt>
                <c:pt idx="5">
                  <c:v>135405</c:v>
                </c:pt>
                <c:pt idx="6">
                  <c:v>156900</c:v>
                </c:pt>
                <c:pt idx="7">
                  <c:v>173355</c:v>
                </c:pt>
                <c:pt idx="8">
                  <c:v>180686</c:v>
                </c:pt>
                <c:pt idx="9">
                  <c:v>190956</c:v>
                </c:pt>
              </c:numCache>
            </c:numRef>
          </c:val>
          <c:smooth val="1"/>
        </c:ser>
        <c:ser>
          <c:idx val="8"/>
          <c:order val="8"/>
          <c:tx>
            <c:strRef>
              <c:f>'Main-Analytics'!B79</c:f>
              <c:strCache>
                <c:ptCount val="1"/>
                <c:pt idx="0">
                  <c:v>Miscellaneous manufactured articles</c:v>
                </c:pt>
              </c:strCache>
            </c:strRef>
          </c:tx>
          <c:spPr>
            <a:solidFill>
              <a:srgbClr val="b3c992"/>
            </a:solidFill>
            <a:ln w="1260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'Main-Analytics'!$C$70:$L$70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'Main-Analytics'!$C$79:$L$79</c:f>
              <c:numCache>
                <c:formatCode>#,##0</c:formatCode>
                <c:ptCount val="10"/>
                <c:pt idx="0">
                  <c:v>40365</c:v>
                </c:pt>
                <c:pt idx="1">
                  <c:v>40571</c:v>
                </c:pt>
                <c:pt idx="2">
                  <c:v>44299</c:v>
                </c:pt>
                <c:pt idx="3">
                  <c:v>46308</c:v>
                </c:pt>
                <c:pt idx="4">
                  <c:v>46038</c:v>
                </c:pt>
                <c:pt idx="5">
                  <c:v>50131</c:v>
                </c:pt>
                <c:pt idx="6">
                  <c:v>57476</c:v>
                </c:pt>
                <c:pt idx="7">
                  <c:v>55698</c:v>
                </c:pt>
                <c:pt idx="8">
                  <c:v>59310</c:v>
                </c:pt>
                <c:pt idx="9">
                  <c:v>63028</c:v>
                </c:pt>
              </c:numCache>
            </c:numRef>
          </c:val>
          <c:smooth val="1"/>
        </c:ser>
        <c:ser>
          <c:idx val="9"/>
          <c:order val="9"/>
          <c:tx>
            <c:strRef>
              <c:f>'Main-Analytics'!B80</c:f>
              <c:strCache>
                <c:ptCount val="1"/>
                <c:pt idx="0">
                  <c:v>Commodities and transactions not classified elsewhere in the SITC</c:v>
                </c:pt>
              </c:strCache>
            </c:strRef>
          </c:tx>
          <c:spPr>
            <a:solidFill>
              <a:srgbClr val="a596b9"/>
            </a:solidFill>
            <a:ln w="1260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'Main-Analytics'!$C$70:$L$70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'Main-Analytics'!$C$80:$L$80</c:f>
              <c:numCache>
                <c:formatCode>#,##0</c:formatCode>
                <c:ptCount val="10"/>
                <c:pt idx="0">
                  <c:v>9962</c:v>
                </c:pt>
                <c:pt idx="1">
                  <c:v>21397</c:v>
                </c:pt>
                <c:pt idx="2">
                  <c:v>12140</c:v>
                </c:pt>
                <c:pt idx="3">
                  <c:v>11251</c:v>
                </c:pt>
                <c:pt idx="4">
                  <c:v>11914</c:v>
                </c:pt>
                <c:pt idx="5">
                  <c:v>11211</c:v>
                </c:pt>
                <c:pt idx="6">
                  <c:v>12292</c:v>
                </c:pt>
                <c:pt idx="7">
                  <c:v>12575</c:v>
                </c:pt>
                <c:pt idx="8">
                  <c:v>13470</c:v>
                </c:pt>
                <c:pt idx="9">
                  <c:v>25622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3104946"/>
        <c:axId val="67858"/>
      </c:lineChart>
      <c:catAx>
        <c:axId val="631049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7858"/>
        <c:crosses val="autoZero"/>
        <c:auto val="1"/>
        <c:lblAlgn val="ctr"/>
        <c:lblOffset val="100"/>
        <c:noMultiLvlLbl val="0"/>
      </c:catAx>
      <c:valAx>
        <c:axId val="678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$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310494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Export by main category, index 2016 = 100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'Main-Analytics'!B32</c:f>
              <c:strCache>
                <c:ptCount val="1"/>
                <c:pt idx="0">
                  <c:v>Food and live animals</c:v>
                </c:pt>
              </c:strCache>
            </c:strRef>
          </c:tx>
          <c:spPr>
            <a:solidFill>
              <a:srgbClr val="426fa6"/>
            </a:solidFill>
            <a:ln w="1260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'Main-Analytics'!$C$31:$L$31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'Main-Analytics'!$C$32:$L$32</c:f>
              <c:numCache>
                <c:formatCode>#,##0.0</c:formatCode>
                <c:ptCount val="10"/>
                <c:pt idx="0">
                  <c:v>100</c:v>
                </c:pt>
                <c:pt idx="1">
                  <c:v>112.18540204163</c:v>
                </c:pt>
                <c:pt idx="2">
                  <c:v>108.123601361086</c:v>
                </c:pt>
                <c:pt idx="3">
                  <c:v>115.413384016431</c:v>
                </c:pt>
                <c:pt idx="4">
                  <c:v>109.217988412372</c:v>
                </c:pt>
                <c:pt idx="5">
                  <c:v>133.472303117624</c:v>
                </c:pt>
                <c:pt idx="6">
                  <c:v>162.846019435333</c:v>
                </c:pt>
                <c:pt idx="7">
                  <c:v>167.833604120045</c:v>
                </c:pt>
                <c:pt idx="8">
                  <c:v>161.129333864688</c:v>
                </c:pt>
                <c:pt idx="9">
                  <c:v>190.193433677692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'Main-Analytics'!B33</c:f>
              <c:strCache>
                <c:ptCount val="1"/>
                <c:pt idx="0">
                  <c:v>Beverages and tobacco</c:v>
                </c:pt>
              </c:strCache>
            </c:strRef>
          </c:tx>
          <c:spPr>
            <a:solidFill>
              <a:srgbClr val="aa433f"/>
            </a:solidFill>
            <a:ln w="1260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'Main-Analytics'!$C$31:$L$31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'Main-Analytics'!$C$33:$L$33</c:f>
              <c:numCache>
                <c:formatCode>#,##0.0</c:formatCode>
                <c:ptCount val="10"/>
                <c:pt idx="0">
                  <c:v>100</c:v>
                </c:pt>
                <c:pt idx="1">
                  <c:v>113.139231056364</c:v>
                </c:pt>
                <c:pt idx="2">
                  <c:v>126.054497946995</c:v>
                </c:pt>
                <c:pt idx="3">
                  <c:v>133.706606942889</c:v>
                </c:pt>
                <c:pt idx="4">
                  <c:v>122.545726017171</c:v>
                </c:pt>
                <c:pt idx="5">
                  <c:v>94.1769316909295</c:v>
                </c:pt>
                <c:pt idx="6">
                  <c:v>96.0059723777529</c:v>
                </c:pt>
                <c:pt idx="7">
                  <c:v>95.110115714819</c:v>
                </c:pt>
                <c:pt idx="8">
                  <c:v>118.66368047779</c:v>
                </c:pt>
                <c:pt idx="9">
                  <c:v>114.44568868981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'Main-Analytics'!B34</c:f>
              <c:strCache>
                <c:ptCount val="1"/>
                <c:pt idx="0">
                  <c:v>Crude materials, inedible, except fuels</c:v>
                </c:pt>
              </c:strCache>
            </c:strRef>
          </c:tx>
          <c:spPr>
            <a:solidFill>
              <a:srgbClr val="87a44b"/>
            </a:solidFill>
            <a:ln w="1260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'Main-Analytics'!$C$31:$L$31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'Main-Analytics'!$C$34:$L$34</c:f>
              <c:numCache>
                <c:formatCode>#,##0.0</c:formatCode>
                <c:ptCount val="10"/>
                <c:pt idx="0">
                  <c:v>100</c:v>
                </c:pt>
                <c:pt idx="1">
                  <c:v>118.956960572105</c:v>
                </c:pt>
                <c:pt idx="2">
                  <c:v>127.813587495964</c:v>
                </c:pt>
                <c:pt idx="3">
                  <c:v>163.134858468567</c:v>
                </c:pt>
                <c:pt idx="4">
                  <c:v>181.73425335741</c:v>
                </c:pt>
                <c:pt idx="5">
                  <c:v>236.996687434975</c:v>
                </c:pt>
                <c:pt idx="6">
                  <c:v>225.177885937743</c:v>
                </c:pt>
                <c:pt idx="7">
                  <c:v>242.715346623456</c:v>
                </c:pt>
                <c:pt idx="8">
                  <c:v>214.764233864699</c:v>
                </c:pt>
                <c:pt idx="9">
                  <c:v>216.035445641645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'Main-Analytics'!B35</c:f>
              <c:strCache>
                <c:ptCount val="1"/>
                <c:pt idx="0">
                  <c:v>Mineral fuels, lubricants and related materials</c:v>
                </c:pt>
              </c:strCache>
            </c:strRef>
          </c:tx>
          <c:spPr>
            <a:solidFill>
              <a:srgbClr val="6f568d"/>
            </a:solidFill>
            <a:ln w="1260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'Main-Analytics'!$C$31:$L$31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'Main-Analytics'!$C$35:$L$35</c:f>
              <c:numCache>
                <c:formatCode>#,##0.0</c:formatCode>
                <c:ptCount val="10"/>
                <c:pt idx="0">
                  <c:v>100</c:v>
                </c:pt>
                <c:pt idx="1">
                  <c:v>134.632654869871</c:v>
                </c:pt>
                <c:pt idx="2">
                  <c:v>180.598800626274</c:v>
                </c:pt>
                <c:pt idx="3">
                  <c:v>186.53510974565</c:v>
                </c:pt>
                <c:pt idx="4">
                  <c:v>131.194056305574</c:v>
                </c:pt>
                <c:pt idx="5">
                  <c:v>186.693155298219</c:v>
                </c:pt>
                <c:pt idx="6">
                  <c:v>371.235709432513</c:v>
                </c:pt>
                <c:pt idx="7">
                  <c:v>288.837848217187</c:v>
                </c:pt>
                <c:pt idx="8">
                  <c:v>252.344096186228</c:v>
                </c:pt>
                <c:pt idx="9">
                  <c:v>207.055921538507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'Main-Analytics'!B36</c:f>
              <c:strCache>
                <c:ptCount val="1"/>
                <c:pt idx="0">
                  <c:v>Animal and vegetable oils, fats and waxes</c:v>
                </c:pt>
              </c:strCache>
            </c:strRef>
          </c:tx>
          <c:spPr>
            <a:solidFill>
              <a:srgbClr val="3d97af"/>
            </a:solidFill>
            <a:ln w="1260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'Main-Analytics'!$C$31:$L$31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'Main-Analytics'!$C$36:$L$36</c:f>
              <c:numCache>
                <c:formatCode>#,##0.0</c:formatCode>
                <c:ptCount val="10"/>
                <c:pt idx="0">
                  <c:v>100</c:v>
                </c:pt>
                <c:pt idx="1">
                  <c:v>100.740740740741</c:v>
                </c:pt>
                <c:pt idx="2">
                  <c:v>98.2222222222222</c:v>
                </c:pt>
                <c:pt idx="3">
                  <c:v>95.8518518518519</c:v>
                </c:pt>
                <c:pt idx="4">
                  <c:v>112.740740740741</c:v>
                </c:pt>
                <c:pt idx="5">
                  <c:v>160.740740740741</c:v>
                </c:pt>
                <c:pt idx="6">
                  <c:v>249.185185185185</c:v>
                </c:pt>
                <c:pt idx="7">
                  <c:v>238.37037037037</c:v>
                </c:pt>
                <c:pt idx="8">
                  <c:v>206.962962962963</c:v>
                </c:pt>
                <c:pt idx="9">
                  <c:v>267.555555555556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'Main-Analytics'!B37</c:f>
              <c:strCache>
                <c:ptCount val="1"/>
                <c:pt idx="0">
                  <c:v>Chemicals and related products, nes</c:v>
                </c:pt>
              </c:strCache>
            </c:strRef>
          </c:tx>
          <c:spPr>
            <a:solidFill>
              <a:srgbClr val="db8238"/>
            </a:solidFill>
            <a:ln w="1260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'Main-Analytics'!$C$31:$L$31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'Main-Analytics'!$C$37:$L$37</c:f>
              <c:numCache>
                <c:formatCode>#,##0.0</c:formatCode>
                <c:ptCount val="10"/>
                <c:pt idx="0">
                  <c:v>100</c:v>
                </c:pt>
                <c:pt idx="1">
                  <c:v>103.298673359627</c:v>
                </c:pt>
                <c:pt idx="2">
                  <c:v>125.612525397395</c:v>
                </c:pt>
                <c:pt idx="3">
                  <c:v>143.07398111629</c:v>
                </c:pt>
                <c:pt idx="4">
                  <c:v>132.568423568782</c:v>
                </c:pt>
                <c:pt idx="5">
                  <c:v>120.138639894825</c:v>
                </c:pt>
                <c:pt idx="6">
                  <c:v>150.292817019242</c:v>
                </c:pt>
                <c:pt idx="7">
                  <c:v>137.253495876658</c:v>
                </c:pt>
                <c:pt idx="8">
                  <c:v>146.671447352695</c:v>
                </c:pt>
                <c:pt idx="9">
                  <c:v>145.105772678379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'Main-Analytics'!B38</c:f>
              <c:strCache>
                <c:ptCount val="1"/>
                <c:pt idx="0">
                  <c:v>Manufactured goods classified chiefly by material</c:v>
                </c:pt>
              </c:strCache>
            </c:strRef>
          </c:tx>
          <c:spPr>
            <a:solidFill>
              <a:srgbClr val="8ea5ca"/>
            </a:solidFill>
            <a:ln w="1260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'Main-Analytics'!$C$31:$L$31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'Main-Analytics'!$C$38:$L$38</c:f>
              <c:numCache>
                <c:formatCode>#,##0.0</c:formatCode>
                <c:ptCount val="10"/>
                <c:pt idx="0">
                  <c:v>100</c:v>
                </c:pt>
                <c:pt idx="1">
                  <c:v>110.017902431747</c:v>
                </c:pt>
                <c:pt idx="2">
                  <c:v>127.040131284499</c:v>
                </c:pt>
                <c:pt idx="3">
                  <c:v>131.038341041325</c:v>
                </c:pt>
                <c:pt idx="4">
                  <c:v>109.712069222736</c:v>
                </c:pt>
                <c:pt idx="5">
                  <c:v>124.593465612412</c:v>
                </c:pt>
                <c:pt idx="6">
                  <c:v>144.942563031478</c:v>
                </c:pt>
                <c:pt idx="7">
                  <c:v>144.390571385947</c:v>
                </c:pt>
                <c:pt idx="8">
                  <c:v>153.028494703864</c:v>
                </c:pt>
                <c:pt idx="9">
                  <c:v>169.46889452484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'Main-Analytics'!B39</c:f>
              <c:strCache>
                <c:ptCount val="1"/>
                <c:pt idx="0">
                  <c:v>Machinery and transport equipment</c:v>
                </c:pt>
              </c:strCache>
            </c:strRef>
          </c:tx>
          <c:spPr>
            <a:solidFill>
              <a:srgbClr val="cc8f8e"/>
            </a:solidFill>
            <a:ln w="1260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'Main-Analytics'!$C$31:$L$31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'Main-Analytics'!$C$39:$L$39</c:f>
              <c:numCache>
                <c:formatCode>#,##0.0</c:formatCode>
                <c:ptCount val="10"/>
                <c:pt idx="0">
                  <c:v>100</c:v>
                </c:pt>
                <c:pt idx="1">
                  <c:v>95.1322545005524</c:v>
                </c:pt>
                <c:pt idx="2">
                  <c:v>99.7725352570352</c:v>
                </c:pt>
                <c:pt idx="3">
                  <c:v>110.430883213102</c:v>
                </c:pt>
                <c:pt idx="4">
                  <c:v>95.392214206798</c:v>
                </c:pt>
                <c:pt idx="5">
                  <c:v>95.7171638396049</c:v>
                </c:pt>
                <c:pt idx="6">
                  <c:v>107.33736270878</c:v>
                </c:pt>
                <c:pt idx="7">
                  <c:v>120.907259374797</c:v>
                </c:pt>
                <c:pt idx="8">
                  <c:v>133.125365568337</c:v>
                </c:pt>
                <c:pt idx="9">
                  <c:v>144.342626892832</c:v>
                </c:pt>
              </c:numCache>
            </c:numRef>
          </c:val>
          <c:smooth val="1"/>
        </c:ser>
        <c:ser>
          <c:idx val="8"/>
          <c:order val="8"/>
          <c:tx>
            <c:strRef>
              <c:f>'Main-Analytics'!B40</c:f>
              <c:strCache>
                <c:ptCount val="1"/>
                <c:pt idx="0">
                  <c:v>Miscellaneous manufactured articles</c:v>
                </c:pt>
              </c:strCache>
            </c:strRef>
          </c:tx>
          <c:spPr>
            <a:solidFill>
              <a:srgbClr val="b3c992"/>
            </a:solidFill>
            <a:ln w="1260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'Main-Analytics'!$C$31:$L$31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'Main-Analytics'!$C$40:$L$40</c:f>
              <c:numCache>
                <c:formatCode>#,##0.0</c:formatCode>
                <c:ptCount val="10"/>
                <c:pt idx="0">
                  <c:v>100</c:v>
                </c:pt>
                <c:pt idx="1">
                  <c:v>104.559316864898</c:v>
                </c:pt>
                <c:pt idx="2">
                  <c:v>111.131442512961</c:v>
                </c:pt>
                <c:pt idx="3">
                  <c:v>125.16010978957</c:v>
                </c:pt>
                <c:pt idx="4">
                  <c:v>112.473315035072</c:v>
                </c:pt>
                <c:pt idx="5">
                  <c:v>122.5373589509</c:v>
                </c:pt>
                <c:pt idx="6">
                  <c:v>138.41110094541</c:v>
                </c:pt>
                <c:pt idx="7">
                  <c:v>160.36901494358</c:v>
                </c:pt>
                <c:pt idx="8">
                  <c:v>167.337602927722</c:v>
                </c:pt>
                <c:pt idx="9">
                  <c:v>180.893565111314</c:v>
                </c:pt>
              </c:numCache>
            </c:numRef>
          </c:val>
          <c:smooth val="1"/>
        </c:ser>
        <c:ser>
          <c:idx val="9"/>
          <c:order val="9"/>
          <c:tx>
            <c:strRef>
              <c:f>'Main-Analytics'!B41</c:f>
              <c:strCache>
                <c:ptCount val="1"/>
                <c:pt idx="0">
                  <c:v>Commodities and transactions not classified elsewhere in the SITC</c:v>
                </c:pt>
              </c:strCache>
            </c:strRef>
          </c:tx>
          <c:spPr>
            <a:solidFill>
              <a:srgbClr val="a596b9"/>
            </a:solidFill>
            <a:ln w="1260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'Main-Analytics'!$C$31:$L$31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'Main-Analytics'!$C$41:$L$41</c:f>
              <c:numCache>
                <c:formatCode>#,##0.0</c:formatCode>
                <c:ptCount val="10"/>
                <c:pt idx="0">
                  <c:v>100</c:v>
                </c:pt>
                <c:pt idx="1">
                  <c:v>92.9731895672447</c:v>
                </c:pt>
                <c:pt idx="2">
                  <c:v>94.6196998397202</c:v>
                </c:pt>
                <c:pt idx="3">
                  <c:v>111.689494390208</c:v>
                </c:pt>
                <c:pt idx="4">
                  <c:v>125.338773131284</c:v>
                </c:pt>
                <c:pt idx="5">
                  <c:v>134.536645781728</c:v>
                </c:pt>
                <c:pt idx="6">
                  <c:v>142.995045898295</c:v>
                </c:pt>
                <c:pt idx="7">
                  <c:v>150.251347807081</c:v>
                </c:pt>
                <c:pt idx="8">
                  <c:v>164.538102870465</c:v>
                </c:pt>
                <c:pt idx="9">
                  <c:v>241.927728398659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1266754"/>
        <c:axId val="3413433"/>
      </c:lineChart>
      <c:catAx>
        <c:axId val="612667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13433"/>
        <c:crosses val="autoZero"/>
        <c:auto val="1"/>
        <c:lblAlgn val="ctr"/>
        <c:lblOffset val="100"/>
        <c:noMultiLvlLbl val="0"/>
      </c:catAx>
      <c:valAx>
        <c:axId val="34134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Index (2016 = 100)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126675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Import by main category, index 2016 = 100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'Main-Analytics'!B97</c:f>
              <c:strCache>
                <c:ptCount val="1"/>
                <c:pt idx="0">
                  <c:v>Food and live animals</c:v>
                </c:pt>
              </c:strCache>
            </c:strRef>
          </c:tx>
          <c:spPr>
            <a:solidFill>
              <a:srgbClr val="426fa6"/>
            </a:solidFill>
            <a:ln w="1260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'Main-Analytics'!$C$96:$L$96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'Main-Analytics'!$C$97:$L$97</c:f>
              <c:numCache>
                <c:formatCode>#,##0.0</c:formatCode>
                <c:ptCount val="10"/>
                <c:pt idx="0">
                  <c:v>100</c:v>
                </c:pt>
                <c:pt idx="1">
                  <c:v>102.339557845031</c:v>
                </c:pt>
                <c:pt idx="2">
                  <c:v>108.263575874651</c:v>
                </c:pt>
                <c:pt idx="3">
                  <c:v>121.184803605924</c:v>
                </c:pt>
                <c:pt idx="4">
                  <c:v>125.97123846319</c:v>
                </c:pt>
                <c:pt idx="5">
                  <c:v>117.407168920369</c:v>
                </c:pt>
                <c:pt idx="6">
                  <c:v>139.643700364885</c:v>
                </c:pt>
                <c:pt idx="7">
                  <c:v>140.831365815268</c:v>
                </c:pt>
                <c:pt idx="8">
                  <c:v>159.497746297489</c:v>
                </c:pt>
                <c:pt idx="9">
                  <c:v>175.395292265865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'Main-Analytics'!B98</c:f>
              <c:strCache>
                <c:ptCount val="1"/>
                <c:pt idx="0">
                  <c:v>Beverages and tobacco</c:v>
                </c:pt>
              </c:strCache>
            </c:strRef>
          </c:tx>
          <c:spPr>
            <a:solidFill>
              <a:srgbClr val="aa433f"/>
            </a:solidFill>
            <a:ln w="1260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'Main-Analytics'!$C$96:$L$96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'Main-Analytics'!$C$98:$L$98</c:f>
              <c:numCache>
                <c:formatCode>#,##0.0</c:formatCode>
                <c:ptCount val="10"/>
                <c:pt idx="0">
                  <c:v>100</c:v>
                </c:pt>
                <c:pt idx="1">
                  <c:v>100.428003668603</c:v>
                </c:pt>
                <c:pt idx="2">
                  <c:v>108.254356465913</c:v>
                </c:pt>
                <c:pt idx="3">
                  <c:v>116.111280953837</c:v>
                </c:pt>
                <c:pt idx="4">
                  <c:v>106.236624885356</c:v>
                </c:pt>
                <c:pt idx="5">
                  <c:v>105.441760929379</c:v>
                </c:pt>
                <c:pt idx="6">
                  <c:v>117.70100886579</c:v>
                </c:pt>
                <c:pt idx="7">
                  <c:v>107.551207581779</c:v>
                </c:pt>
                <c:pt idx="8">
                  <c:v>102.38459186793</c:v>
                </c:pt>
                <c:pt idx="9">
                  <c:v>103.271170895751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'Main-Analytics'!B99</c:f>
              <c:strCache>
                <c:ptCount val="1"/>
                <c:pt idx="0">
                  <c:v>Crude materials, inedible, except fuels</c:v>
                </c:pt>
              </c:strCache>
            </c:strRef>
          </c:tx>
          <c:spPr>
            <a:solidFill>
              <a:srgbClr val="87a44b"/>
            </a:solidFill>
            <a:ln w="1260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'Main-Analytics'!$C$96:$L$96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'Main-Analytics'!$C$99:$L$99</c:f>
              <c:numCache>
                <c:formatCode>#,##0.0</c:formatCode>
                <c:ptCount val="10"/>
                <c:pt idx="0">
                  <c:v>100</c:v>
                </c:pt>
                <c:pt idx="1">
                  <c:v>110.542732376794</c:v>
                </c:pt>
                <c:pt idx="2">
                  <c:v>124.298190892077</c:v>
                </c:pt>
                <c:pt idx="3">
                  <c:v>97.8789769182782</c:v>
                </c:pt>
                <c:pt idx="4">
                  <c:v>101.590767311291</c:v>
                </c:pt>
                <c:pt idx="5">
                  <c:v>132.470368059888</c:v>
                </c:pt>
                <c:pt idx="6">
                  <c:v>145.134123518403</c:v>
                </c:pt>
                <c:pt idx="7">
                  <c:v>122.613849033063</c:v>
                </c:pt>
                <c:pt idx="8">
                  <c:v>128.477854023706</c:v>
                </c:pt>
                <c:pt idx="9">
                  <c:v>164.847161572052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'Main-Analytics'!B100</c:f>
              <c:strCache>
                <c:ptCount val="1"/>
                <c:pt idx="0">
                  <c:v>Mineral fuels, lubricants and related materials</c:v>
                </c:pt>
              </c:strCache>
            </c:strRef>
          </c:tx>
          <c:spPr>
            <a:solidFill>
              <a:srgbClr val="6f568d"/>
            </a:solidFill>
            <a:ln w="1260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'Main-Analytics'!$C$96:$L$96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'Main-Analytics'!$C$100:$L$100</c:f>
              <c:numCache>
                <c:formatCode>#,##0.0</c:formatCode>
                <c:ptCount val="10"/>
                <c:pt idx="0">
                  <c:v>100</c:v>
                </c:pt>
                <c:pt idx="1">
                  <c:v>126.270971021861</c:v>
                </c:pt>
                <c:pt idx="2">
                  <c:v>171.631926792069</c:v>
                </c:pt>
                <c:pt idx="3">
                  <c:v>164.35349940688</c:v>
                </c:pt>
                <c:pt idx="4">
                  <c:v>97.898661243857</c:v>
                </c:pt>
                <c:pt idx="5">
                  <c:v>146.38196915777</c:v>
                </c:pt>
                <c:pt idx="6">
                  <c:v>278.791730215218</c:v>
                </c:pt>
                <c:pt idx="7">
                  <c:v>256.952211489578</c:v>
                </c:pt>
                <c:pt idx="8">
                  <c:v>240.421115065243</c:v>
                </c:pt>
                <c:pt idx="9">
                  <c:v>225.631248940858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'Main-Analytics'!B101</c:f>
              <c:strCache>
                <c:ptCount val="1"/>
                <c:pt idx="0">
                  <c:v>Animal and vegetable oils, fats and waxes</c:v>
                </c:pt>
              </c:strCache>
            </c:strRef>
          </c:tx>
          <c:spPr>
            <a:solidFill>
              <a:srgbClr val="3d97af"/>
            </a:solidFill>
            <a:ln w="1260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'Main-Analytics'!$C$96:$L$96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'Main-Analytics'!$C$101:$L$101</c:f>
              <c:numCache>
                <c:formatCode>#,##0.0</c:formatCode>
                <c:ptCount val="10"/>
                <c:pt idx="0">
                  <c:v>100</c:v>
                </c:pt>
                <c:pt idx="1">
                  <c:v>100.285714285714</c:v>
                </c:pt>
                <c:pt idx="2">
                  <c:v>108</c:v>
                </c:pt>
                <c:pt idx="3">
                  <c:v>103.571428571429</c:v>
                </c:pt>
                <c:pt idx="4">
                  <c:v>109.428571428571</c:v>
                </c:pt>
                <c:pt idx="5">
                  <c:v>118.714285714286</c:v>
                </c:pt>
                <c:pt idx="6">
                  <c:v>156.285714285714</c:v>
                </c:pt>
                <c:pt idx="7">
                  <c:v>141.142857142857</c:v>
                </c:pt>
                <c:pt idx="8">
                  <c:v>179.571428571429</c:v>
                </c:pt>
                <c:pt idx="9">
                  <c:v>183.142857142857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'Main-Analytics'!B102</c:f>
              <c:strCache>
                <c:ptCount val="1"/>
                <c:pt idx="0">
                  <c:v>Chemicals and related products, nes</c:v>
                </c:pt>
              </c:strCache>
            </c:strRef>
          </c:tx>
          <c:spPr>
            <a:solidFill>
              <a:srgbClr val="db8238"/>
            </a:solidFill>
            <a:ln w="1260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'Main-Analytics'!$C$96:$L$96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'Main-Analytics'!$C$102:$L$102</c:f>
              <c:numCache>
                <c:formatCode>#,##0.0</c:formatCode>
                <c:ptCount val="10"/>
                <c:pt idx="0">
                  <c:v>100</c:v>
                </c:pt>
                <c:pt idx="1">
                  <c:v>101.259700415088</c:v>
                </c:pt>
                <c:pt idx="2">
                  <c:v>107.695361848042</c:v>
                </c:pt>
                <c:pt idx="3">
                  <c:v>111.97978704205</c:v>
                </c:pt>
                <c:pt idx="4">
                  <c:v>120.162425554954</c:v>
                </c:pt>
                <c:pt idx="5">
                  <c:v>133.625699332251</c:v>
                </c:pt>
                <c:pt idx="6">
                  <c:v>185.500812127775</c:v>
                </c:pt>
                <c:pt idx="7">
                  <c:v>154.596643205198</c:v>
                </c:pt>
                <c:pt idx="8">
                  <c:v>162.541057570836</c:v>
                </c:pt>
                <c:pt idx="9">
                  <c:v>172.080851831799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'Main-Analytics'!B103</c:f>
              <c:strCache>
                <c:ptCount val="1"/>
                <c:pt idx="0">
                  <c:v>Manufactured goods classified chiefly by material</c:v>
                </c:pt>
              </c:strCache>
            </c:strRef>
          </c:tx>
          <c:spPr>
            <a:solidFill>
              <a:srgbClr val="8ea5ca"/>
            </a:solidFill>
            <a:ln w="1260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'Main-Analytics'!$C$96:$L$96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'Main-Analytics'!$C$103:$L$103</c:f>
              <c:numCache>
                <c:formatCode>#,##0.0</c:formatCode>
                <c:ptCount val="10"/>
                <c:pt idx="0">
                  <c:v>100</c:v>
                </c:pt>
                <c:pt idx="1">
                  <c:v>101.693654111895</c:v>
                </c:pt>
                <c:pt idx="2">
                  <c:v>114.952343833044</c:v>
                </c:pt>
                <c:pt idx="3">
                  <c:v>114.396059951104</c:v>
                </c:pt>
                <c:pt idx="4">
                  <c:v>121.882861495943</c:v>
                </c:pt>
                <c:pt idx="5">
                  <c:v>131.017255429968</c:v>
                </c:pt>
                <c:pt idx="6">
                  <c:v>155.975622719059</c:v>
                </c:pt>
                <c:pt idx="7">
                  <c:v>143.996031605428</c:v>
                </c:pt>
                <c:pt idx="8">
                  <c:v>154.522906849024</c:v>
                </c:pt>
                <c:pt idx="9">
                  <c:v>162.534103390851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'Main-Analytics'!B104</c:f>
              <c:strCache>
                <c:ptCount val="1"/>
                <c:pt idx="0">
                  <c:v>Machinery and transport equipment</c:v>
                </c:pt>
              </c:strCache>
            </c:strRef>
          </c:tx>
          <c:spPr>
            <a:solidFill>
              <a:srgbClr val="cc8f8e"/>
            </a:solidFill>
            <a:ln w="1260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'Main-Analytics'!$C$96:$L$96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'Main-Analytics'!$C$104:$L$104</c:f>
              <c:numCache>
                <c:formatCode>#,##0.0</c:formatCode>
                <c:ptCount val="10"/>
                <c:pt idx="0">
                  <c:v>100</c:v>
                </c:pt>
                <c:pt idx="1">
                  <c:v>114.130182324933</c:v>
                </c:pt>
                <c:pt idx="2">
                  <c:v>117.489257925909</c:v>
                </c:pt>
                <c:pt idx="3">
                  <c:v>119.310571749313</c:v>
                </c:pt>
                <c:pt idx="4">
                  <c:v>115.884721093175</c:v>
                </c:pt>
                <c:pt idx="5">
                  <c:v>131.038787597259</c:v>
                </c:pt>
                <c:pt idx="6">
                  <c:v>151.840668911857</c:v>
                </c:pt>
                <c:pt idx="7">
                  <c:v>167.76506793636</c:v>
                </c:pt>
                <c:pt idx="8">
                  <c:v>174.859675608718</c:v>
                </c:pt>
                <c:pt idx="9">
                  <c:v>184.798513529207</c:v>
                </c:pt>
              </c:numCache>
            </c:numRef>
          </c:val>
          <c:smooth val="1"/>
        </c:ser>
        <c:ser>
          <c:idx val="8"/>
          <c:order val="8"/>
          <c:tx>
            <c:strRef>
              <c:f>'Main-Analytics'!B105</c:f>
              <c:strCache>
                <c:ptCount val="1"/>
                <c:pt idx="0">
                  <c:v>Miscellaneous manufactured articles</c:v>
                </c:pt>
              </c:strCache>
            </c:strRef>
          </c:tx>
          <c:spPr>
            <a:solidFill>
              <a:srgbClr val="b3c992"/>
            </a:solidFill>
            <a:ln w="1260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'Main-Analytics'!$C$96:$L$96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'Main-Analytics'!$C$105:$L$105</c:f>
              <c:numCache>
                <c:formatCode>#,##0.0</c:formatCode>
                <c:ptCount val="10"/>
                <c:pt idx="0">
                  <c:v>100</c:v>
                </c:pt>
                <c:pt idx="1">
                  <c:v>100.510343119039</c:v>
                </c:pt>
                <c:pt idx="2">
                  <c:v>109.746067137372</c:v>
                </c:pt>
                <c:pt idx="3">
                  <c:v>114.72315124489</c:v>
                </c:pt>
                <c:pt idx="4">
                  <c:v>114.05425492382</c:v>
                </c:pt>
                <c:pt idx="5">
                  <c:v>124.194227672489</c:v>
                </c:pt>
                <c:pt idx="6">
                  <c:v>142.390684999381</c:v>
                </c:pt>
                <c:pt idx="7">
                  <c:v>137.985878855444</c:v>
                </c:pt>
                <c:pt idx="8">
                  <c:v>146.934225195095</c:v>
                </c:pt>
                <c:pt idx="9">
                  <c:v>156.14517527561</c:v>
                </c:pt>
              </c:numCache>
            </c:numRef>
          </c:val>
          <c:smooth val="1"/>
        </c:ser>
        <c:ser>
          <c:idx val="9"/>
          <c:order val="9"/>
          <c:tx>
            <c:strRef>
              <c:f>'Main-Analytics'!B106</c:f>
              <c:strCache>
                <c:ptCount val="1"/>
                <c:pt idx="0">
                  <c:v>Commodities and transactions not classified elsewhere in the SITC</c:v>
                </c:pt>
              </c:strCache>
            </c:strRef>
          </c:tx>
          <c:spPr>
            <a:solidFill>
              <a:srgbClr val="a596b9"/>
            </a:solidFill>
            <a:ln w="1260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'Main-Analytics'!$C$96:$L$96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'Main-Analytics'!$C$106:$L$106</c:f>
              <c:numCache>
                <c:formatCode>#,##0.0</c:formatCode>
                <c:ptCount val="10"/>
                <c:pt idx="0">
                  <c:v>100</c:v>
                </c:pt>
                <c:pt idx="1">
                  <c:v>214.786187512548</c:v>
                </c:pt>
                <c:pt idx="2">
                  <c:v>121.863079702871</c:v>
                </c:pt>
                <c:pt idx="3">
                  <c:v>112.939168841598</c:v>
                </c:pt>
                <c:pt idx="4">
                  <c:v>119.594458943987</c:v>
                </c:pt>
                <c:pt idx="5">
                  <c:v>112.537643043566</c:v>
                </c:pt>
                <c:pt idx="6">
                  <c:v>123.388877735395</c:v>
                </c:pt>
                <c:pt idx="7">
                  <c:v>126.229672756475</c:v>
                </c:pt>
                <c:pt idx="8">
                  <c:v>135.213812487452</c:v>
                </c:pt>
                <c:pt idx="9">
                  <c:v>257.197349929733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593377"/>
        <c:axId val="15805646"/>
      </c:lineChart>
      <c:catAx>
        <c:axId val="75933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805646"/>
        <c:crosses val="autoZero"/>
        <c:auto val="1"/>
        <c:lblAlgn val="ctr"/>
        <c:lblOffset val="100"/>
        <c:noMultiLvlLbl val="0"/>
      </c:catAx>
      <c:valAx>
        <c:axId val="158056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Index (2016 = 100)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59337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Export share of total by main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'Main-Analytics'!B45</c:f>
              <c:strCache>
                <c:ptCount val="1"/>
                <c:pt idx="0">
                  <c:v>Food and live animals</c:v>
                </c:pt>
              </c:strCache>
            </c:strRef>
          </c:tx>
          <c:spPr>
            <a:solidFill>
              <a:srgbClr val="426fa6"/>
            </a:solidFill>
            <a:ln w="1260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'Main-Analytics'!$C$44:$L$44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'Main-Analytics'!$C$45:$L$45</c:f>
              <c:numCache>
                <c:formatCode>0.0%</c:formatCode>
                <c:ptCount val="10"/>
                <c:pt idx="0">
                  <c:v>0.126208558860057</c:v>
                </c:pt>
                <c:pt idx="1">
                  <c:v>0.121446633967624</c:v>
                </c:pt>
                <c:pt idx="2">
                  <c:v>0.102348998157364</c:v>
                </c:pt>
                <c:pt idx="3">
                  <c:v>0.0965406006959313</c:v>
                </c:pt>
                <c:pt idx="4">
                  <c:v>0.0982223594539159</c:v>
                </c:pt>
                <c:pt idx="5">
                  <c:v>0.0950306437813204</c:v>
                </c:pt>
                <c:pt idx="6">
                  <c:v>0.0894513062733113</c:v>
                </c:pt>
                <c:pt idx="7">
                  <c:v>0.098007063797946</c:v>
                </c:pt>
                <c:pt idx="8">
                  <c:v>0.101670654547635</c:v>
                </c:pt>
                <c:pt idx="9">
                  <c:v>0.118606838489155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'Main-Analytics'!B46</c:f>
              <c:strCache>
                <c:ptCount val="1"/>
                <c:pt idx="0">
                  <c:v>Beverages and tobacco</c:v>
                </c:pt>
              </c:strCache>
            </c:strRef>
          </c:tx>
          <c:spPr>
            <a:solidFill>
              <a:srgbClr val="aa433f"/>
            </a:solidFill>
            <a:ln w="1260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'Main-Analytics'!$C$44:$L$44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'Main-Analytics'!$C$46:$L$46</c:f>
              <c:numCache>
                <c:formatCode>0.0%</c:formatCode>
                <c:ptCount val="10"/>
                <c:pt idx="0">
                  <c:v>0.0103648793472331</c:v>
                </c:pt>
                <c:pt idx="1">
                  <c:v>0.0100586060650308</c:v>
                </c:pt>
                <c:pt idx="2">
                  <c:v>0.0097993412939077</c:v>
                </c:pt>
                <c:pt idx="3">
                  <c:v>0.00918506286203687</c:v>
                </c:pt>
                <c:pt idx="4">
                  <c:v>0.00905085904589665</c:v>
                </c:pt>
                <c:pt idx="5">
                  <c:v>0.00550671369453999</c:v>
                </c:pt>
                <c:pt idx="6">
                  <c:v>0.00433095063692927</c:v>
                </c:pt>
                <c:pt idx="7">
                  <c:v>0.00456121570361407</c:v>
                </c:pt>
                <c:pt idx="8">
                  <c:v>0.00614913836625189</c:v>
                </c:pt>
                <c:pt idx="9">
                  <c:v>0.00586123441496622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'Main-Analytics'!B47</c:f>
              <c:strCache>
                <c:ptCount val="1"/>
                <c:pt idx="0">
                  <c:v>Crude materials, inedible, except fuels</c:v>
                </c:pt>
              </c:strCache>
            </c:strRef>
          </c:tx>
          <c:spPr>
            <a:solidFill>
              <a:srgbClr val="87a44b"/>
            </a:solidFill>
            <a:ln w="1260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'Main-Analytics'!$C$44:$L$44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'Main-Analytics'!$C$47:$L$47</c:f>
              <c:numCache>
                <c:formatCode>0.0%</c:formatCode>
                <c:ptCount val="10"/>
                <c:pt idx="0">
                  <c:v>0.323524291114215</c:v>
                </c:pt>
                <c:pt idx="1">
                  <c:v>0.330108782945171</c:v>
                </c:pt>
                <c:pt idx="2">
                  <c:v>0.310140301495872</c:v>
                </c:pt>
                <c:pt idx="3">
                  <c:v>0.349799092776315</c:v>
                </c:pt>
                <c:pt idx="4">
                  <c:v>0.418958558479081</c:v>
                </c:pt>
                <c:pt idx="5">
                  <c:v>0.432546576801523</c:v>
                </c:pt>
                <c:pt idx="6">
                  <c:v>0.317068694063466</c:v>
                </c:pt>
                <c:pt idx="7">
                  <c:v>0.363323744278342</c:v>
                </c:pt>
                <c:pt idx="8">
                  <c:v>0.34737699305393</c:v>
                </c:pt>
                <c:pt idx="9">
                  <c:v>0.345348290377711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'Main-Analytics'!B48</c:f>
              <c:strCache>
                <c:ptCount val="1"/>
                <c:pt idx="0">
                  <c:v>Mineral fuels, lubricants and related materials</c:v>
                </c:pt>
              </c:strCache>
            </c:strRef>
          </c:tx>
          <c:spPr>
            <a:solidFill>
              <a:srgbClr val="6f568d"/>
            </a:solidFill>
            <a:ln w="1260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'Main-Analytics'!$C$44:$L$44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'Main-Analytics'!$C$48:$L$48</c:f>
              <c:numCache>
                <c:formatCode>0.0%</c:formatCode>
                <c:ptCount val="10"/>
                <c:pt idx="0">
                  <c:v>0.261934700099432</c:v>
                </c:pt>
                <c:pt idx="1">
                  <c:v>0.302484950254535</c:v>
                </c:pt>
                <c:pt idx="2">
                  <c:v>0.354798833480841</c:v>
                </c:pt>
                <c:pt idx="3">
                  <c:v>0.32383116100528</c:v>
                </c:pt>
                <c:pt idx="4">
                  <c:v>0.244869433845747</c:v>
                </c:pt>
                <c:pt idx="5">
                  <c:v>0.275870423076252</c:v>
                </c:pt>
                <c:pt idx="6">
                  <c:v>0.423217397893461</c:v>
                </c:pt>
                <c:pt idx="7">
                  <c:v>0.350055404091847</c:v>
                </c:pt>
                <c:pt idx="8">
                  <c:v>0.330459608923311</c:v>
                </c:pt>
                <c:pt idx="9">
                  <c:v>0.267982290125369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'Main-Analytics'!B49</c:f>
              <c:strCache>
                <c:ptCount val="1"/>
                <c:pt idx="0">
                  <c:v>Animal and vegetable oils, fats and waxes</c:v>
                </c:pt>
              </c:strCache>
            </c:strRef>
          </c:tx>
          <c:spPr>
            <a:solidFill>
              <a:srgbClr val="3d97af"/>
            </a:solidFill>
            <a:ln w="1260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'Main-Analytics'!$C$44:$L$44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'Main-Analytics'!$C$49:$L$49</c:f>
              <c:numCache>
                <c:formatCode>0.0%</c:formatCode>
                <c:ptCount val="10"/>
                <c:pt idx="0">
                  <c:v>0.00261153175042268</c:v>
                </c:pt>
                <c:pt idx="1">
                  <c:v>0.00225663217559253</c:v>
                </c:pt>
                <c:pt idx="2">
                  <c:v>0.00192388607576571</c:v>
                </c:pt>
                <c:pt idx="3">
                  <c:v>0.00165905518473977</c:v>
                </c:pt>
                <c:pt idx="4">
                  <c:v>0.00209799078097087</c:v>
                </c:pt>
                <c:pt idx="5">
                  <c:v>0.00236812697525798</c:v>
                </c:pt>
                <c:pt idx="6">
                  <c:v>0.00283229353472591</c:v>
                </c:pt>
                <c:pt idx="7">
                  <c:v>0.00288029672963698</c:v>
                </c:pt>
                <c:pt idx="8">
                  <c:v>0.00270221651388924</c:v>
                </c:pt>
                <c:pt idx="9">
                  <c:v>0.00345250794306229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'Main-Analytics'!B50</c:f>
              <c:strCache>
                <c:ptCount val="1"/>
                <c:pt idx="0">
                  <c:v>Chemicals and related products, nes</c:v>
                </c:pt>
              </c:strCache>
            </c:strRef>
          </c:tx>
          <c:spPr>
            <a:solidFill>
              <a:srgbClr val="db8238"/>
            </a:solidFill>
            <a:ln w="1260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'Main-Analytics'!$C$44:$L$44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'Main-Analytics'!$C$50:$L$50</c:f>
              <c:numCache>
                <c:formatCode>0.0%</c:formatCode>
                <c:ptCount val="10"/>
                <c:pt idx="0">
                  <c:v>0.0323713868974616</c:v>
                </c:pt>
                <c:pt idx="1">
                  <c:v>0.0286824586671268</c:v>
                </c:pt>
                <c:pt idx="2">
                  <c:v>0.0304978018948682</c:v>
                </c:pt>
                <c:pt idx="3">
                  <c:v>0.0306963672589177</c:v>
                </c:pt>
                <c:pt idx="4">
                  <c:v>0.0305793873094991</c:v>
                </c:pt>
                <c:pt idx="5">
                  <c:v>0.021939550557874</c:v>
                </c:pt>
                <c:pt idx="6">
                  <c:v>0.0211748461350644</c:v>
                </c:pt>
                <c:pt idx="7">
                  <c:v>0.0205576927552213</c:v>
                </c:pt>
                <c:pt idx="8">
                  <c:v>0.0237377244512876</c:v>
                </c:pt>
                <c:pt idx="9">
                  <c:v>0.0232098000757028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'Main-Analytics'!B51</c:f>
              <c:strCache>
                <c:ptCount val="1"/>
                <c:pt idx="0">
                  <c:v>Manufactured goods classified chiefly by material</c:v>
                </c:pt>
              </c:strCache>
            </c:strRef>
          </c:tx>
          <c:spPr>
            <a:solidFill>
              <a:srgbClr val="8ea5ca"/>
            </a:solidFill>
            <a:ln w="1260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'Main-Analytics'!$C$44:$L$44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'Main-Analytics'!$C$51:$L$51</c:f>
              <c:numCache>
                <c:formatCode>0.0%</c:formatCode>
                <c:ptCount val="10"/>
                <c:pt idx="0">
                  <c:v>0.0518669550313577</c:v>
                </c:pt>
                <c:pt idx="1">
                  <c:v>0.0489456881732563</c:v>
                </c:pt>
                <c:pt idx="2">
                  <c:v>0.0494203676566603</c:v>
                </c:pt>
                <c:pt idx="3">
                  <c:v>0.0450457842817984</c:v>
                </c:pt>
                <c:pt idx="4">
                  <c:v>0.0405482896274895</c:v>
                </c:pt>
                <c:pt idx="5">
                  <c:v>0.0364560597859301</c:v>
                </c:pt>
                <c:pt idx="6">
                  <c:v>0.0327195574751838</c:v>
                </c:pt>
                <c:pt idx="7">
                  <c:v>0.0346512764422518</c:v>
                </c:pt>
                <c:pt idx="8">
                  <c:v>0.0396821558929404</c:v>
                </c:pt>
                <c:pt idx="9">
                  <c:v>0.0434316323136391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'Main-Analytics'!B52</c:f>
              <c:strCache>
                <c:ptCount val="1"/>
                <c:pt idx="0">
                  <c:v>Machinery and transport equipment</c:v>
                </c:pt>
              </c:strCache>
            </c:strRef>
          </c:tx>
          <c:spPr>
            <a:solidFill>
              <a:srgbClr val="cc8f8e"/>
            </a:solidFill>
            <a:ln w="1260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'Main-Analytics'!$C$44:$L$44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'Main-Analytics'!$C$52:$L$52</c:f>
              <c:numCache>
                <c:formatCode>0.0%</c:formatCode>
                <c:ptCount val="10"/>
                <c:pt idx="0">
                  <c:v>0.0595313171018575</c:v>
                </c:pt>
                <c:pt idx="1">
                  <c:v>0.0485773261563581</c:v>
                </c:pt>
                <c:pt idx="2">
                  <c:v>0.0445482640047589</c:v>
                </c:pt>
                <c:pt idx="3">
                  <c:v>0.043571353476195</c:v>
                </c:pt>
                <c:pt idx="4">
                  <c:v>0.0404655830263999</c:v>
                </c:pt>
                <c:pt idx="5">
                  <c:v>0.0321454139093084</c:v>
                </c:pt>
                <c:pt idx="6">
                  <c:v>0.0278110344943716</c:v>
                </c:pt>
                <c:pt idx="7">
                  <c:v>0.0333033190541743</c:v>
                </c:pt>
                <c:pt idx="8">
                  <c:v>0.0396221926059464</c:v>
                </c:pt>
                <c:pt idx="9">
                  <c:v>0.042458583286497</c:v>
                </c:pt>
              </c:numCache>
            </c:numRef>
          </c:val>
          <c:smooth val="1"/>
        </c:ser>
        <c:ser>
          <c:idx val="8"/>
          <c:order val="8"/>
          <c:tx>
            <c:strRef>
              <c:f>'Main-Analytics'!B53</c:f>
              <c:strCache>
                <c:ptCount val="1"/>
                <c:pt idx="0">
                  <c:v>Miscellaneous manufactured articles</c:v>
                </c:pt>
              </c:strCache>
            </c:strRef>
          </c:tx>
          <c:spPr>
            <a:solidFill>
              <a:srgbClr val="b3c992"/>
            </a:solidFill>
            <a:ln w="1260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'Main-Analytics'!$C$44:$L$44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'Main-Analytics'!$C$53:$L$53</c:f>
              <c:numCache>
                <c:formatCode>0.0%</c:formatCode>
                <c:ptCount val="10"/>
                <c:pt idx="0">
                  <c:v>0.0253724818063288</c:v>
                </c:pt>
                <c:pt idx="1">
                  <c:v>0.0227554806294676</c:v>
                </c:pt>
                <c:pt idx="2">
                  <c:v>0.0211482378886584</c:v>
                </c:pt>
                <c:pt idx="3">
                  <c:v>0.0210471792215518</c:v>
                </c:pt>
                <c:pt idx="4">
                  <c:v>0.0203347963212104</c:v>
                </c:pt>
                <c:pt idx="5">
                  <c:v>0.0175394178554591</c:v>
                </c:pt>
                <c:pt idx="6">
                  <c:v>0.0152846185580898</c:v>
                </c:pt>
                <c:pt idx="7">
                  <c:v>0.018826650531754</c:v>
                </c:pt>
                <c:pt idx="8">
                  <c:v>0.0212270035958629</c:v>
                </c:pt>
                <c:pt idx="9">
                  <c:v>0.0226783509017431</c:v>
                </c:pt>
              </c:numCache>
            </c:numRef>
          </c:val>
          <c:smooth val="1"/>
        </c:ser>
        <c:ser>
          <c:idx val="9"/>
          <c:order val="9"/>
          <c:tx>
            <c:strRef>
              <c:f>'Main-Analytics'!B54</c:f>
              <c:strCache>
                <c:ptCount val="1"/>
                <c:pt idx="0">
                  <c:v>Commodities and transactions not classified elsewhere in the SITC</c:v>
                </c:pt>
              </c:strCache>
            </c:strRef>
          </c:tx>
          <c:spPr>
            <a:solidFill>
              <a:srgbClr val="a596b9"/>
            </a:solidFill>
            <a:ln w="1260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'Main-Analytics'!$C$44:$L$44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'Main-Analytics'!$C$54:$L$54</c:f>
              <c:numCache>
                <c:formatCode>0.0%</c:formatCode>
                <c:ptCount val="10"/>
                <c:pt idx="0">
                  <c:v>0.106210029055709</c:v>
                </c:pt>
                <c:pt idx="1">
                  <c:v>0.0847000338494826</c:v>
                </c:pt>
                <c:pt idx="2">
                  <c:v>0.0753739680513036</c:v>
                </c:pt>
                <c:pt idx="3">
                  <c:v>0.0786217790097466</c:v>
                </c:pt>
                <c:pt idx="4">
                  <c:v>0.0948589576762753</c:v>
                </c:pt>
                <c:pt idx="5">
                  <c:v>0.0806101691955789</c:v>
                </c:pt>
                <c:pt idx="6">
                  <c:v>0.0661008815134753</c:v>
                </c:pt>
                <c:pt idx="7">
                  <c:v>0.0738369168473192</c:v>
                </c:pt>
                <c:pt idx="8">
                  <c:v>0.0873703777493651</c:v>
                </c:pt>
                <c:pt idx="9">
                  <c:v>0.12696282532145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7974181"/>
        <c:axId val="66893243"/>
      </c:lineChart>
      <c:catAx>
        <c:axId val="579741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893243"/>
        <c:crosses val="autoZero"/>
        <c:auto val="1"/>
        <c:lblAlgn val="ctr"/>
        <c:lblOffset val="100"/>
        <c:noMultiLvlLbl val="0"/>
      </c:catAx>
      <c:valAx>
        <c:axId val="668932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Share of export total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797418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Import share of total by main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'Main-Analytics'!B110</c:f>
              <c:strCache>
                <c:ptCount val="1"/>
                <c:pt idx="0">
                  <c:v>Food and live animals</c:v>
                </c:pt>
              </c:strCache>
            </c:strRef>
          </c:tx>
          <c:spPr>
            <a:solidFill>
              <a:srgbClr val="426fa6"/>
            </a:solidFill>
            <a:ln w="1260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'Main-Analytics'!$C$109:$L$109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'Main-Analytics'!$C$110:$L$110</c:f>
              <c:numCache>
                <c:formatCode>0.0%</c:formatCode>
                <c:ptCount val="10"/>
                <c:pt idx="0">
                  <c:v>0.0549529182802886</c:v>
                </c:pt>
                <c:pt idx="1">
                  <c:v>0.0496165332944837</c:v>
                </c:pt>
                <c:pt idx="2">
                  <c:v>0.0497681302417366</c:v>
                </c:pt>
                <c:pt idx="3">
                  <c:v>0.0550741507857285</c:v>
                </c:pt>
                <c:pt idx="4">
                  <c:v>0.05996873328951</c:v>
                </c:pt>
                <c:pt idx="5">
                  <c:v>0.0496920365558967</c:v>
                </c:pt>
                <c:pt idx="6">
                  <c:v>0.0468055309087247</c:v>
                </c:pt>
                <c:pt idx="7">
                  <c:v>0.047560943197002</c:v>
                </c:pt>
                <c:pt idx="8">
                  <c:v>0.0518595026903295</c:v>
                </c:pt>
                <c:pt idx="9">
                  <c:v>0.0531933360239202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'Main-Analytics'!B111</c:f>
              <c:strCache>
                <c:ptCount val="1"/>
                <c:pt idx="0">
                  <c:v>Beverages and tobacco</c:v>
                </c:pt>
              </c:strCache>
            </c:strRef>
          </c:tx>
          <c:spPr>
            <a:solidFill>
              <a:srgbClr val="aa433f"/>
            </a:solidFill>
            <a:ln w="1260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'Main-Analytics'!$C$109:$L$109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'Main-Analytics'!$C$111:$L$111</c:f>
              <c:numCache>
                <c:formatCode>0.0%</c:formatCode>
                <c:ptCount val="10"/>
                <c:pt idx="0">
                  <c:v>0.0128604847746172</c:v>
                </c:pt>
                <c:pt idx="1">
                  <c:v>0.0113947365682592</c:v>
                </c:pt>
                <c:pt idx="2">
                  <c:v>0.0116461108370334</c:v>
                </c:pt>
                <c:pt idx="3">
                  <c:v>0.0123492516639625</c:v>
                </c:pt>
                <c:pt idx="4">
                  <c:v>0.0118357101255777</c:v>
                </c:pt>
                <c:pt idx="5">
                  <c:v>0.0104441093285367</c:v>
                </c:pt>
                <c:pt idx="6">
                  <c:v>0.00923256962796342</c:v>
                </c:pt>
                <c:pt idx="7">
                  <c:v>0.00850027424136623</c:v>
                </c:pt>
                <c:pt idx="8">
                  <c:v>0.00779067305925238</c:v>
                </c:pt>
                <c:pt idx="9">
                  <c:v>0.00732967934280246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'Main-Analytics'!B112</c:f>
              <c:strCache>
                <c:ptCount val="1"/>
                <c:pt idx="0">
                  <c:v>Crude materials, inedible, except fuels</c:v>
                </c:pt>
              </c:strCache>
            </c:strRef>
          </c:tx>
          <c:spPr>
            <a:solidFill>
              <a:srgbClr val="87a44b"/>
            </a:solidFill>
            <a:ln w="1260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'Main-Analytics'!$C$109:$L$109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'Main-Analytics'!$C$112:$L$112</c:f>
              <c:numCache>
                <c:formatCode>0.0%</c:formatCode>
                <c:ptCount val="10"/>
                <c:pt idx="0">
                  <c:v>0.0126049263795239</c:v>
                </c:pt>
                <c:pt idx="1">
                  <c:v>0.0122931343677049</c:v>
                </c:pt>
                <c:pt idx="2">
                  <c:v>0.0131063969741819</c:v>
                </c:pt>
                <c:pt idx="3">
                  <c:v>0.0102032521646957</c:v>
                </c:pt>
                <c:pt idx="4">
                  <c:v>0.0110932109004336</c:v>
                </c:pt>
                <c:pt idx="5">
                  <c:v>0.012860577650999</c:v>
                </c:pt>
                <c:pt idx="6">
                  <c:v>0.0111582198646529</c:v>
                </c:pt>
                <c:pt idx="7">
                  <c:v>0.00949817454315254</c:v>
                </c:pt>
                <c:pt idx="8">
                  <c:v>0.0095818997703973</c:v>
                </c:pt>
                <c:pt idx="9">
                  <c:v>0.0114675415413591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'Main-Analytics'!B113</c:f>
              <c:strCache>
                <c:ptCount val="1"/>
                <c:pt idx="0">
                  <c:v>Mineral fuels, lubricants and related materials</c:v>
                </c:pt>
              </c:strCache>
            </c:strRef>
          </c:tx>
          <c:spPr>
            <a:solidFill>
              <a:srgbClr val="6f568d"/>
            </a:solidFill>
            <a:ln w="1260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'Main-Analytics'!$C$109:$L$109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'Main-Analytics'!$C$113:$L$113</c:f>
              <c:numCache>
                <c:formatCode>0.0%</c:formatCode>
                <c:ptCount val="10"/>
                <c:pt idx="0">
                  <c:v>0.0928030824274116</c:v>
                </c:pt>
                <c:pt idx="1">
                  <c:v>0.103385121283703</c:v>
                </c:pt>
                <c:pt idx="2">
                  <c:v>0.133241243216576</c:v>
                </c:pt>
                <c:pt idx="3">
                  <c:v>0.126139249355387</c:v>
                </c:pt>
                <c:pt idx="4">
                  <c:v>0.0787049178652807</c:v>
                </c:pt>
                <c:pt idx="5">
                  <c:v>0.104628838944506</c:v>
                </c:pt>
                <c:pt idx="6">
                  <c:v>0.157807396607211</c:v>
                </c:pt>
                <c:pt idx="7">
                  <c:v>0.146546370953128</c:v>
                </c:pt>
                <c:pt idx="8">
                  <c:v>0.132013408611381</c:v>
                </c:pt>
                <c:pt idx="9">
                  <c:v>0.115560705280928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'Main-Analytics'!B114</c:f>
              <c:strCache>
                <c:ptCount val="1"/>
                <c:pt idx="0">
                  <c:v>Animal and vegetable oils, fats and waxes</c:v>
                </c:pt>
              </c:strCache>
            </c:strRef>
          </c:tx>
          <c:spPr>
            <a:solidFill>
              <a:srgbClr val="3d97af"/>
            </a:solidFill>
            <a:ln w="1260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'Main-Analytics'!$C$109:$L$109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'Main-Analytics'!$C$114:$L$114</c:f>
              <c:numCache>
                <c:formatCode>0.0%</c:formatCode>
                <c:ptCount val="10"/>
                <c:pt idx="0">
                  <c:v>0.00275216733177377</c:v>
                </c:pt>
                <c:pt idx="1">
                  <c:v>0.00243503959540881</c:v>
                </c:pt>
                <c:pt idx="2">
                  <c:v>0.00248643315244203</c:v>
                </c:pt>
                <c:pt idx="3">
                  <c:v>0.00235734793480063</c:v>
                </c:pt>
                <c:pt idx="4">
                  <c:v>0.00260896516724965</c:v>
                </c:pt>
                <c:pt idx="5">
                  <c:v>0.00251639746361671</c:v>
                </c:pt>
                <c:pt idx="6">
                  <c:v>0.00262348861636155</c:v>
                </c:pt>
                <c:pt idx="7">
                  <c:v>0.00238722880911593</c:v>
                </c:pt>
                <c:pt idx="8">
                  <c:v>0.00292411944923268</c:v>
                </c:pt>
                <c:pt idx="9">
                  <c:v>0.00278171963217074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'Main-Analytics'!B115</c:f>
              <c:strCache>
                <c:ptCount val="1"/>
                <c:pt idx="0">
                  <c:v>Chemicals and related products, nes</c:v>
                </c:pt>
              </c:strCache>
            </c:strRef>
          </c:tx>
          <c:spPr>
            <a:solidFill>
              <a:srgbClr val="db8238"/>
            </a:solidFill>
            <a:ln w="1260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'Main-Analytics'!$C$109:$L$109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'Main-Analytics'!$C$115:$L$115</c:f>
              <c:numCache>
                <c:formatCode>0.0%</c:formatCode>
                <c:ptCount val="10"/>
                <c:pt idx="0">
                  <c:v>0.108926851323989</c:v>
                </c:pt>
                <c:pt idx="1">
                  <c:v>0.0973113971646704</c:v>
                </c:pt>
                <c:pt idx="2">
                  <c:v>0.0981318862029272</c:v>
                </c:pt>
                <c:pt idx="3">
                  <c:v>0.10087498252311</c:v>
                </c:pt>
                <c:pt idx="4">
                  <c:v>0.113387805982909</c:v>
                </c:pt>
                <c:pt idx="5">
                  <c:v>0.112105355596335</c:v>
                </c:pt>
                <c:pt idx="6">
                  <c:v>0.123244013218162</c:v>
                </c:pt>
                <c:pt idx="7">
                  <c:v>0.103489268343365</c:v>
                </c:pt>
                <c:pt idx="8">
                  <c:v>0.104756521112049</c:v>
                </c:pt>
                <c:pt idx="9">
                  <c:v>0.103446554963916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'Main-Analytics'!B116</c:f>
              <c:strCache>
                <c:ptCount val="1"/>
                <c:pt idx="0">
                  <c:v>Manufactured goods classified chiefly by material</c:v>
                </c:pt>
              </c:strCache>
            </c:strRef>
          </c:tx>
          <c:spPr>
            <a:solidFill>
              <a:srgbClr val="8ea5ca"/>
            </a:solidFill>
            <a:ln w="1260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'Main-Analytics'!$C$109:$L$109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'Main-Analytics'!$C$116:$L$116</c:f>
              <c:numCache>
                <c:formatCode>0.0%</c:formatCode>
                <c:ptCount val="10"/>
                <c:pt idx="0">
                  <c:v>0.110963455149502</c:v>
                </c:pt>
                <c:pt idx="1">
                  <c:v>0.0995556573045985</c:v>
                </c:pt>
                <c:pt idx="2">
                  <c:v>0.106702844926821</c:v>
                </c:pt>
                <c:pt idx="3">
                  <c:v>0.10497839368686</c:v>
                </c:pt>
                <c:pt idx="4">
                  <c:v>0.1171616093841</c:v>
                </c:pt>
                <c:pt idx="5">
                  <c:v>0.111972116741462</c:v>
                </c:pt>
                <c:pt idx="6">
                  <c:v>0.105565440933137</c:v>
                </c:pt>
                <c:pt idx="7">
                  <c:v>0.0981953226745661</c:v>
                </c:pt>
                <c:pt idx="8">
                  <c:v>0.101450893636027</c:v>
                </c:pt>
                <c:pt idx="9">
                  <c:v>0.0995343548884057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'Main-Analytics'!B117</c:f>
              <c:strCache>
                <c:ptCount val="1"/>
                <c:pt idx="0">
                  <c:v>Machinery and transport equipment</c:v>
                </c:pt>
              </c:strCache>
            </c:strRef>
          </c:tx>
          <c:spPr>
            <a:solidFill>
              <a:srgbClr val="cc8f8e"/>
            </a:solidFill>
            <a:ln w="1260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'Main-Analytics'!$C$109:$L$109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'Main-Analytics'!$C$117:$L$117</c:f>
              <c:numCache>
                <c:formatCode>0.0%</c:formatCode>
                <c:ptCount val="10"/>
                <c:pt idx="0">
                  <c:v>0.406267078181211</c:v>
                </c:pt>
                <c:pt idx="1">
                  <c:v>0.409076245876562</c:v>
                </c:pt>
                <c:pt idx="2">
                  <c:v>0.399289590527874</c:v>
                </c:pt>
                <c:pt idx="3">
                  <c:v>0.40086620343425</c:v>
                </c:pt>
                <c:pt idx="4">
                  <c:v>0.407850056028038</c:v>
                </c:pt>
                <c:pt idx="5">
                  <c:v>0.410027435091481</c:v>
                </c:pt>
                <c:pt idx="6">
                  <c:v>0.376257188214925</c:v>
                </c:pt>
                <c:pt idx="7">
                  <c:v>0.418864423283696</c:v>
                </c:pt>
                <c:pt idx="8">
                  <c:v>0.420324142246664</c:v>
                </c:pt>
                <c:pt idx="9">
                  <c:v>0.414341695850855</c:v>
                </c:pt>
              </c:numCache>
            </c:numRef>
          </c:val>
          <c:smooth val="1"/>
        </c:ser>
        <c:ser>
          <c:idx val="8"/>
          <c:order val="8"/>
          <c:tx>
            <c:strRef>
              <c:f>'Main-Analytics'!B118</c:f>
              <c:strCache>
                <c:ptCount val="1"/>
                <c:pt idx="0">
                  <c:v>Miscellaneous manufactured articles</c:v>
                </c:pt>
              </c:strCache>
            </c:strRef>
          </c:tx>
          <c:spPr>
            <a:solidFill>
              <a:srgbClr val="b3c992"/>
            </a:solidFill>
            <a:ln w="1260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'Main-Analytics'!$C$109:$L$109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'Main-Analytics'!$C$118:$L$118</c:f>
              <c:numCache>
                <c:formatCode>0.0%</c:formatCode>
                <c:ptCount val="10"/>
                <c:pt idx="0">
                  <c:v>0.158701763352926</c:v>
                </c:pt>
                <c:pt idx="1">
                  <c:v>0.140729332514716</c:v>
                </c:pt>
                <c:pt idx="2">
                  <c:v>0.145696431507976</c:v>
                </c:pt>
                <c:pt idx="3">
                  <c:v>0.1505711285031</c:v>
                </c:pt>
                <c:pt idx="4">
                  <c:v>0.156803574895352</c:v>
                </c:pt>
                <c:pt idx="5">
                  <c:v>0.151804478036786</c:v>
                </c:pt>
                <c:pt idx="6">
                  <c:v>0.137831473230344</c:v>
                </c:pt>
                <c:pt idx="7">
                  <c:v>0.134578816002165</c:v>
                </c:pt>
                <c:pt idx="8">
                  <c:v>0.137970982127279</c:v>
                </c:pt>
                <c:pt idx="9">
                  <c:v>0.136759925878672</c:v>
                </c:pt>
              </c:numCache>
            </c:numRef>
          </c:val>
          <c:smooth val="1"/>
        </c:ser>
        <c:ser>
          <c:idx val="9"/>
          <c:order val="9"/>
          <c:tx>
            <c:strRef>
              <c:f>'Main-Analytics'!B119</c:f>
              <c:strCache>
                <c:ptCount val="1"/>
                <c:pt idx="0">
                  <c:v>Commodities and transactions not classified elsewhere in the SITC</c:v>
                </c:pt>
              </c:strCache>
            </c:strRef>
          </c:tx>
          <c:spPr>
            <a:solidFill>
              <a:srgbClr val="a596b9"/>
            </a:solidFill>
            <a:ln w="1260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'Main-Analytics'!$C$109:$L$109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'Main-Analytics'!$C$119:$L$119</c:f>
              <c:numCache>
                <c:formatCode>0.0%</c:formatCode>
                <c:ptCount val="10"/>
                <c:pt idx="0">
                  <c:v>0.0391672727987576</c:v>
                </c:pt>
                <c:pt idx="1">
                  <c:v>0.0742201456167553</c:v>
                </c:pt>
                <c:pt idx="2">
                  <c:v>0.0399276434796908</c:v>
                </c:pt>
                <c:pt idx="3">
                  <c:v>0.036582788433713</c:v>
                </c:pt>
                <c:pt idx="4">
                  <c:v>0.0405786044420527</c:v>
                </c:pt>
                <c:pt idx="5">
                  <c:v>0.0339486545903814</c:v>
                </c:pt>
                <c:pt idx="6">
                  <c:v>0.0294770768485523</c:v>
                </c:pt>
                <c:pt idx="7">
                  <c:v>0.0303840103994259</c:v>
                </c:pt>
                <c:pt idx="8">
                  <c:v>0.0313348361027559</c:v>
                </c:pt>
                <c:pt idx="9">
                  <c:v>0.0555953357375029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2066802"/>
        <c:axId val="80684355"/>
      </c:lineChart>
      <c:catAx>
        <c:axId val="320668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684355"/>
        <c:crosses val="autoZero"/>
        <c:auto val="1"/>
        <c:lblAlgn val="ctr"/>
        <c:lblOffset val="100"/>
        <c:noMultiLvlLbl val="0"/>
      </c:catAx>
      <c:valAx>
        <c:axId val="806843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Share of import total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06680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Export growth outlier z-score by main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'Main-Stats'!B19</c:f>
              <c:strCache>
                <c:ptCount val="1"/>
                <c:pt idx="0">
                  <c:v>Food and live animals</c:v>
                </c:pt>
              </c:strCache>
            </c:strRef>
          </c:tx>
          <c:spPr>
            <a:solidFill>
              <a:srgbClr val="4672a8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'Main-Stats'!$C$18:$K$18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'Main-Stats'!$C$19:$K$19</c:f>
              <c:numCache>
                <c:formatCode>0.00</c:formatCode>
                <c:ptCount val="9"/>
                <c:pt idx="0">
                  <c:v>0.404902097821929</c:v>
                </c:pt>
                <c:pt idx="1">
                  <c:v>-1.09471121854945</c:v>
                </c:pt>
                <c:pt idx="2">
                  <c:v>-0.111538854805825</c:v>
                </c:pt>
                <c:pt idx="3">
                  <c:v>-1.26049679927982</c:v>
                </c:pt>
                <c:pt idx="4">
                  <c:v>1.35573628873875</c:v>
                </c:pt>
                <c:pt idx="5">
                  <c:v>1.33677025497305</c:v>
                </c:pt>
                <c:pt idx="6">
                  <c:v>-0.460618563797343</c:v>
                </c:pt>
                <c:pt idx="7">
                  <c:v>-1.13019291284772</c:v>
                </c:pt>
                <c:pt idx="8">
                  <c:v>0.960149707746423</c:v>
                </c:pt>
              </c:numCache>
            </c:numRef>
          </c:val>
        </c:ser>
        <c:ser>
          <c:idx val="1"/>
          <c:order val="1"/>
          <c:tx>
            <c:strRef>
              <c:f>'Main-Stats'!B20</c:f>
              <c:strCache>
                <c:ptCount val="1"/>
                <c:pt idx="0">
                  <c:v>Beverages and tobacco</c:v>
                </c:pt>
              </c:strCache>
            </c:strRef>
          </c:tx>
          <c:spPr>
            <a:solidFill>
              <a:srgbClr val="ab4744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'Main-Stats'!$C$18:$K$18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'Main-Stats'!$C$20:$K$20</c:f>
              <c:numCache>
                <c:formatCode>0.00</c:formatCode>
                <c:ptCount val="9"/>
                <c:pt idx="0">
                  <c:v>0.827085673715616</c:v>
                </c:pt>
                <c:pt idx="1">
                  <c:v>0.694668615177883</c:v>
                </c:pt>
                <c:pt idx="2">
                  <c:v>0.28410335357717</c:v>
                </c:pt>
                <c:pt idx="3">
                  <c:v>-0.823389311147116</c:v>
                </c:pt>
                <c:pt idx="4">
                  <c:v>-1.96041693495513</c:v>
                </c:pt>
                <c:pt idx="5">
                  <c:v>-0.0330130590115236</c:v>
                </c:pt>
                <c:pt idx="6">
                  <c:v>-0.253874385552969</c:v>
                </c:pt>
                <c:pt idx="7">
                  <c:v>1.72007568881243</c:v>
                </c:pt>
                <c:pt idx="8">
                  <c:v>-0.45523964061636</c:v>
                </c:pt>
              </c:numCache>
            </c:numRef>
          </c:val>
        </c:ser>
        <c:ser>
          <c:idx val="2"/>
          <c:order val="2"/>
          <c:tx>
            <c:strRef>
              <c:f>'Main-Stats'!B21</c:f>
              <c:strCache>
                <c:ptCount val="1"/>
                <c:pt idx="0">
                  <c:v>Crude materials, inedible, except fuels</c:v>
                </c:pt>
              </c:strCache>
            </c:strRef>
          </c:tx>
          <c:spPr>
            <a:solidFill>
              <a:srgbClr val="8aa64f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'Main-Stats'!$C$18:$K$18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'Main-Stats'!$C$21:$K$21</c:f>
              <c:numCache>
                <c:formatCode>0.00</c:formatCode>
                <c:ptCount val="9"/>
                <c:pt idx="0">
                  <c:v>0.69147619116309</c:v>
                </c:pt>
                <c:pt idx="1">
                  <c:v>-0.172825646183139</c:v>
                </c:pt>
                <c:pt idx="2">
                  <c:v>1.34302376876158</c:v>
                </c:pt>
                <c:pt idx="3">
                  <c:v>0.124191564424979</c:v>
                </c:pt>
                <c:pt idx="4">
                  <c:v>1.55124999788466</c:v>
                </c:pt>
                <c:pt idx="5">
                  <c:v>-1.10623259353817</c:v>
                </c:pt>
                <c:pt idx="6">
                  <c:v>-0.147070670970716</c:v>
                </c:pt>
                <c:pt idx="7">
                  <c:v>-1.59643830322577</c:v>
                </c:pt>
                <c:pt idx="8">
                  <c:v>-0.687374308316504</c:v>
                </c:pt>
              </c:numCache>
            </c:numRef>
          </c:val>
        </c:ser>
        <c:ser>
          <c:idx val="3"/>
          <c:order val="3"/>
          <c:tx>
            <c:strRef>
              <c:f>'Main-Stats'!B22</c:f>
              <c:strCache>
                <c:ptCount val="1"/>
                <c:pt idx="0">
                  <c:v>Mineral fuels, lubricants and related materials</c:v>
                </c:pt>
              </c:strCache>
            </c:strRef>
          </c:tx>
          <c:spPr>
            <a:solidFill>
              <a:srgbClr val="725990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'Main-Stats'!$C$18:$K$18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'Main-Stats'!$C$22:$K$22</c:f>
              <c:numCache>
                <c:formatCode>0.00</c:formatCode>
                <c:ptCount val="9"/>
                <c:pt idx="0">
                  <c:v>0.511699552453658</c:v>
                </c:pt>
                <c:pt idx="1">
                  <c:v>0.499207875253225</c:v>
                </c:pt>
                <c:pt idx="2">
                  <c:v>-0.286171778924063</c:v>
                </c:pt>
                <c:pt idx="3">
                  <c:v>-1.12500560291065</c:v>
                </c:pt>
                <c:pt idx="4">
                  <c:v>0.706941872945034</c:v>
                </c:pt>
                <c:pt idx="5">
                  <c:v>2.14623714912166</c:v>
                </c:pt>
                <c:pt idx="6">
                  <c:v>-0.93480486643907</c:v>
                </c:pt>
                <c:pt idx="7">
                  <c:v>-0.691442419289909</c:v>
                </c:pt>
                <c:pt idx="8">
                  <c:v>-0.826661782209885</c:v>
                </c:pt>
              </c:numCache>
            </c:numRef>
          </c:val>
        </c:ser>
        <c:ser>
          <c:idx val="4"/>
          <c:order val="4"/>
          <c:tx>
            <c:strRef>
              <c:f>'Main-Stats'!B23</c:f>
              <c:strCache>
                <c:ptCount val="1"/>
                <c:pt idx="0">
                  <c:v>Animal and vegetable oils, fats and waxes</c:v>
                </c:pt>
              </c:strCache>
            </c:strRef>
          </c:tx>
          <c:spPr>
            <a:solidFill>
              <a:srgbClr val="4299b0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'Main-Stats'!$C$18:$K$18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'Main-Stats'!$C$23:$K$23</c:f>
              <c:numCache>
                <c:formatCode>0.00</c:formatCode>
                <c:ptCount val="9"/>
                <c:pt idx="0">
                  <c:v>-0.574738006781685</c:v>
                </c:pt>
                <c:pt idx="1">
                  <c:v>-0.719073772264451</c:v>
                </c:pt>
                <c:pt idx="2">
                  <c:v>-0.715211134455152</c:v>
                </c:pt>
                <c:pt idx="3">
                  <c:v>0.177019004660109</c:v>
                </c:pt>
                <c:pt idx="4">
                  <c:v>1.28849664377099</c:v>
                </c:pt>
                <c:pt idx="5">
                  <c:v>1.84288131404197</c:v>
                </c:pt>
                <c:pt idx="6">
                  <c:v>-0.801026673521916</c:v>
                </c:pt>
                <c:pt idx="7">
                  <c:v>-1.1945552284496</c:v>
                </c:pt>
                <c:pt idx="8">
                  <c:v>0.69620785299973</c:v>
                </c:pt>
              </c:numCache>
            </c:numRef>
          </c:val>
        </c:ser>
        <c:ser>
          <c:idx val="5"/>
          <c:order val="5"/>
          <c:tx>
            <c:strRef>
              <c:f>'Main-Stats'!B24</c:f>
              <c:strCache>
                <c:ptCount val="1"/>
                <c:pt idx="0">
                  <c:v>Chemicals and related products, nes</c:v>
                </c:pt>
              </c:strCache>
            </c:strRef>
          </c:tx>
          <c:spPr>
            <a:solidFill>
              <a:srgbClr val="dc853e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'Main-Stats'!$C$18:$K$18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'Main-Stats'!$C$24:$K$24</c:f>
              <c:numCache>
                <c:formatCode>0.00</c:formatCode>
                <c:ptCount val="9"/>
                <c:pt idx="0">
                  <c:v>-0.132660441651785</c:v>
                </c:pt>
                <c:pt idx="1">
                  <c:v>1.36285675109104</c:v>
                </c:pt>
                <c:pt idx="2">
                  <c:v>0.733665217944464</c:v>
                </c:pt>
                <c:pt idx="3">
                  <c:v>-1.00217649456659</c:v>
                </c:pt>
                <c:pt idx="4">
                  <c:v>-1.16832523635176</c:v>
                </c:pt>
                <c:pt idx="5">
                  <c:v>1.64869549206485</c:v>
                </c:pt>
                <c:pt idx="6">
                  <c:v>-1.11111293666047</c:v>
                </c:pt>
                <c:pt idx="7">
                  <c:v>0.158478081933484</c:v>
                </c:pt>
                <c:pt idx="8">
                  <c:v>-0.489420433803227</c:v>
                </c:pt>
              </c:numCache>
            </c:numRef>
          </c:val>
        </c:ser>
        <c:ser>
          <c:idx val="6"/>
          <c:order val="6"/>
          <c:tx>
            <c:strRef>
              <c:f>'Main-Stats'!B25</c:f>
              <c:strCache>
                <c:ptCount val="1"/>
                <c:pt idx="0">
                  <c:v>Manufactured goods classified chiefly by material</c:v>
                </c:pt>
              </c:strCache>
            </c:strRef>
          </c:tx>
          <c:spPr>
            <a:solidFill>
              <a:srgbClr val="93a9ce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'Main-Stats'!$C$18:$K$18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'Main-Stats'!$C$25:$K$25</c:f>
              <c:numCache>
                <c:formatCode>0.00</c:formatCode>
                <c:ptCount val="9"/>
                <c:pt idx="0">
                  <c:v>0.364027260605583</c:v>
                </c:pt>
                <c:pt idx="1">
                  <c:v>0.930289999118943</c:v>
                </c:pt>
                <c:pt idx="2">
                  <c:v>-0.349281143825452</c:v>
                </c:pt>
                <c:pt idx="3">
                  <c:v>-2.36565512577003</c:v>
                </c:pt>
                <c:pt idx="4">
                  <c:v>0.732183993575927</c:v>
                </c:pt>
                <c:pt idx="5">
                  <c:v>1.01959084374724</c:v>
                </c:pt>
                <c:pt idx="6">
                  <c:v>-0.715557983061271</c:v>
                </c:pt>
                <c:pt idx="7">
                  <c:v>-0.0549411431109771</c:v>
                </c:pt>
                <c:pt idx="8">
                  <c:v>0.439343298720038</c:v>
                </c:pt>
              </c:numCache>
            </c:numRef>
          </c:val>
        </c:ser>
        <c:ser>
          <c:idx val="7"/>
          <c:order val="7"/>
          <c:tx>
            <c:strRef>
              <c:f>'Main-Stats'!B26</c:f>
              <c:strCache>
                <c:ptCount val="1"/>
                <c:pt idx="0">
                  <c:v>Machinery and transport equipment</c:v>
                </c:pt>
              </c:strCache>
            </c:strRef>
          </c:tx>
          <c:spPr>
            <a:solidFill>
              <a:srgbClr val="d09493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'Main-Stats'!$C$18:$K$18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'Main-Stats'!$C$26:$K$26</c:f>
              <c:numCache>
                <c:formatCode>0.00</c:formatCode>
                <c:ptCount val="9"/>
                <c:pt idx="0">
                  <c:v>-1.11113096996315</c:v>
                </c:pt>
                <c:pt idx="1">
                  <c:v>0.0416710919140619</c:v>
                </c:pt>
                <c:pt idx="2">
                  <c:v>0.728343295816799</c:v>
                </c:pt>
                <c:pt idx="3">
                  <c:v>-2.14622937390818</c:v>
                </c:pt>
                <c:pt idx="4">
                  <c:v>-0.495024222183534</c:v>
                </c:pt>
                <c:pt idx="5">
                  <c:v>0.900751979236024</c:v>
                </c:pt>
                <c:pt idx="6">
                  <c:v>0.960151307368506</c:v>
                </c:pt>
                <c:pt idx="7">
                  <c:v>0.660054564965737</c:v>
                </c:pt>
                <c:pt idx="8">
                  <c:v>0.461412326753731</c:v>
                </c:pt>
              </c:numCache>
            </c:numRef>
          </c:val>
        </c:ser>
        <c:ser>
          <c:idx val="8"/>
          <c:order val="8"/>
          <c:tx>
            <c:strRef>
              <c:f>'Main-Stats'!B27</c:f>
              <c:strCache>
                <c:ptCount val="1"/>
                <c:pt idx="0">
                  <c:v>Miscellaneous manufactured articles</c:v>
                </c:pt>
              </c:strCache>
            </c:strRef>
          </c:tx>
          <c:spPr>
            <a:solidFill>
              <a:srgbClr val="b8cd97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'Main-Stats'!$C$18:$K$18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'Main-Stats'!$C$27:$K$27</c:f>
              <c:numCache>
                <c:formatCode>0.00</c:formatCode>
                <c:ptCount val="9"/>
                <c:pt idx="0">
                  <c:v>-0.350697342004343</c:v>
                </c:pt>
                <c:pt idx="1">
                  <c:v>-0.108659494373487</c:v>
                </c:pt>
                <c:pt idx="2">
                  <c:v>0.779994641001828</c:v>
                </c:pt>
                <c:pt idx="3">
                  <c:v>-2.41121695819628</c:v>
                </c:pt>
                <c:pt idx="4">
                  <c:v>0.264639117942713</c:v>
                </c:pt>
                <c:pt idx="5">
                  <c:v>0.826364828943518</c:v>
                </c:pt>
                <c:pt idx="6">
                  <c:v>1.23439033464478</c:v>
                </c:pt>
                <c:pt idx="7">
                  <c:v>-0.380698624808199</c:v>
                </c:pt>
                <c:pt idx="8">
                  <c:v>0.145883496849477</c:v>
                </c:pt>
              </c:numCache>
            </c:numRef>
          </c:val>
        </c:ser>
        <c:ser>
          <c:idx val="9"/>
          <c:order val="9"/>
          <c:tx>
            <c:strRef>
              <c:f>'Main-Stats'!B28</c:f>
              <c:strCache>
                <c:ptCount val="1"/>
                <c:pt idx="0">
                  <c:v>Commodities and transactions not classified elsewhere in the SITC</c:v>
                </c:pt>
              </c:strCache>
            </c:strRef>
          </c:tx>
          <c:spPr>
            <a:solidFill>
              <a:srgbClr val="a99b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'Main-Stats'!$C$18:$K$18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'Main-Stats'!$C$28:$K$28</c:f>
              <c:numCache>
                <c:formatCode>0.00</c:formatCode>
                <c:ptCount val="9"/>
                <c:pt idx="0">
                  <c:v>-1.27306692378592</c:v>
                </c:pt>
                <c:pt idx="1">
                  <c:v>-0.656506310189963</c:v>
                </c:pt>
                <c:pt idx="2">
                  <c:v>0.483683134715421</c:v>
                </c:pt>
                <c:pt idx="3">
                  <c:v>0.0758305735447313</c:v>
                </c:pt>
                <c:pt idx="4">
                  <c:v>-0.266330347129865</c:v>
                </c:pt>
                <c:pt idx="5">
                  <c:v>-0.340010514032437</c:v>
                </c:pt>
                <c:pt idx="6">
                  <c:v>-0.424987699361135</c:v>
                </c:pt>
                <c:pt idx="7">
                  <c:v>-0.11424217265704</c:v>
                </c:pt>
                <c:pt idx="8">
                  <c:v>2.5156302588962</c:v>
                </c:pt>
              </c:numCache>
            </c:numRef>
          </c:val>
        </c:ser>
        <c:gapWidth val="150"/>
        <c:overlap val="0"/>
        <c:axId val="72323644"/>
        <c:axId val="18232476"/>
      </c:barChart>
      <c:catAx>
        <c:axId val="723236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232476"/>
        <c:crosses val="autoZero"/>
        <c:auto val="1"/>
        <c:lblAlgn val="ctr"/>
        <c:lblOffset val="100"/>
        <c:noMultiLvlLbl val="0"/>
      </c:catAx>
      <c:valAx>
        <c:axId val="182324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Z-score of year on year growth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232364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Import growth outlier z-score by main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'Main-Stats'!B45</c:f>
              <c:strCache>
                <c:ptCount val="1"/>
                <c:pt idx="0">
                  <c:v>Food and live animals</c:v>
                </c:pt>
              </c:strCache>
            </c:strRef>
          </c:tx>
          <c:spPr>
            <a:solidFill>
              <a:srgbClr val="4672a8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'Main-Stats'!$C$44:$K$44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'Main-Stats'!$C$45:$K$45</c:f>
              <c:numCache>
                <c:formatCode>0.00</c:formatCode>
                <c:ptCount val="9"/>
                <c:pt idx="0">
                  <c:v>-0.599284850710886</c:v>
                </c:pt>
                <c:pt idx="1">
                  <c:v>-0.124368366727819</c:v>
                </c:pt>
                <c:pt idx="2">
                  <c:v>0.721961071628422</c:v>
                </c:pt>
                <c:pt idx="3">
                  <c:v>-0.37757558238347</c:v>
                </c:pt>
                <c:pt idx="4">
                  <c:v>-1.85754550546967</c:v>
                </c:pt>
                <c:pt idx="5">
                  <c:v>1.68647695325941</c:v>
                </c:pt>
                <c:pt idx="6">
                  <c:v>-0.804321915078209</c:v>
                </c:pt>
                <c:pt idx="7">
                  <c:v>0.903643141243106</c:v>
                </c:pt>
                <c:pt idx="8">
                  <c:v>0.45101505423912</c:v>
                </c:pt>
              </c:numCache>
            </c:numRef>
          </c:val>
        </c:ser>
        <c:ser>
          <c:idx val="1"/>
          <c:order val="1"/>
          <c:tx>
            <c:strRef>
              <c:f>'Main-Stats'!B46</c:f>
              <c:strCache>
                <c:ptCount val="1"/>
                <c:pt idx="0">
                  <c:v>Beverages and tobacco</c:v>
                </c:pt>
              </c:strCache>
            </c:strRef>
          </c:tx>
          <c:spPr>
            <a:solidFill>
              <a:srgbClr val="ab4744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'Main-Stats'!$C$44:$K$44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'Main-Stats'!$C$46:$K$46</c:f>
              <c:numCache>
                <c:formatCode>0.00</c:formatCode>
                <c:ptCount val="9"/>
                <c:pt idx="0">
                  <c:v>-0.0235030568718929</c:v>
                </c:pt>
                <c:pt idx="1">
                  <c:v>1.058841399831</c:v>
                </c:pt>
                <c:pt idx="2">
                  <c:v>0.980195138183991</c:v>
                </c:pt>
                <c:pt idx="3">
                  <c:v>-1.3362018635291</c:v>
                </c:pt>
                <c:pt idx="4">
                  <c:v>-0.196355735109203</c:v>
                </c:pt>
                <c:pt idx="5">
                  <c:v>1.62221346771614</c:v>
                </c:pt>
                <c:pt idx="6">
                  <c:v>-1.35367524818521</c:v>
                </c:pt>
                <c:pt idx="7">
                  <c:v>-0.792367815056046</c:v>
                </c:pt>
                <c:pt idx="8">
                  <c:v>0.0408537130203177</c:v>
                </c:pt>
              </c:numCache>
            </c:numRef>
          </c:val>
        </c:ser>
        <c:ser>
          <c:idx val="2"/>
          <c:order val="2"/>
          <c:tx>
            <c:strRef>
              <c:f>'Main-Stats'!B47</c:f>
              <c:strCache>
                <c:ptCount val="1"/>
                <c:pt idx="0">
                  <c:v>Crude materials, inedible, except fuels</c:v>
                </c:pt>
              </c:strCache>
            </c:strRef>
          </c:tx>
          <c:spPr>
            <a:solidFill>
              <a:srgbClr val="8aa64f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'Main-Stats'!$C$44:$K$44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'Main-Stats'!$C$47:$K$47</c:f>
              <c:numCache>
                <c:formatCode>0.00</c:formatCode>
                <c:ptCount val="9"/>
                <c:pt idx="0">
                  <c:v>0.217921446833549</c:v>
                </c:pt>
                <c:pt idx="1">
                  <c:v>0.33504089149686</c:v>
                </c:pt>
                <c:pt idx="2">
                  <c:v>-1.74127004684092</c:v>
                </c:pt>
                <c:pt idx="3">
                  <c:v>-0.198009487907216</c:v>
                </c:pt>
                <c:pt idx="4">
                  <c:v>1.44118008749152</c:v>
                </c:pt>
                <c:pt idx="5">
                  <c:v>0.15735147657862</c:v>
                </c:pt>
                <c:pt idx="6">
                  <c:v>-1.38773476081592</c:v>
                </c:pt>
                <c:pt idx="7">
                  <c:v>-0.136994008372009</c:v>
                </c:pt>
                <c:pt idx="8">
                  <c:v>1.31251440153551</c:v>
                </c:pt>
              </c:numCache>
            </c:numRef>
          </c:val>
        </c:ser>
        <c:ser>
          <c:idx val="3"/>
          <c:order val="3"/>
          <c:tx>
            <c:strRef>
              <c:f>'Main-Stats'!B48</c:f>
              <c:strCache>
                <c:ptCount val="1"/>
                <c:pt idx="0">
                  <c:v>Mineral fuels, lubricants and related materials</c:v>
                </c:pt>
              </c:strCache>
            </c:strRef>
          </c:tx>
          <c:spPr>
            <a:solidFill>
              <a:srgbClr val="725990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'Main-Stats'!$C$44:$K$44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'Main-Stats'!$C$48:$K$48</c:f>
              <c:numCache>
                <c:formatCode>0.00</c:formatCode>
                <c:ptCount val="9"/>
                <c:pt idx="0">
                  <c:v>0.298375077377808</c:v>
                </c:pt>
                <c:pt idx="1">
                  <c:v>0.559254202550941</c:v>
                </c:pt>
                <c:pt idx="2">
                  <c:v>-0.526264836529392</c:v>
                </c:pt>
                <c:pt idx="3">
                  <c:v>-1.5044635802452</c:v>
                </c:pt>
                <c:pt idx="4">
                  <c:v>0.926834359726715</c:v>
                </c:pt>
                <c:pt idx="5">
                  <c:v>2.03307691642933</c:v>
                </c:pt>
                <c:pt idx="6">
                  <c:v>-0.623370562492145</c:v>
                </c:pt>
                <c:pt idx="7">
                  <c:v>-0.585529966359614</c:v>
                </c:pt>
                <c:pt idx="8">
                  <c:v>-0.577911610458444</c:v>
                </c:pt>
              </c:numCache>
            </c:numRef>
          </c:val>
        </c:ser>
        <c:ser>
          <c:idx val="4"/>
          <c:order val="4"/>
          <c:tx>
            <c:strRef>
              <c:f>'Main-Stats'!B49</c:f>
              <c:strCache>
                <c:ptCount val="1"/>
                <c:pt idx="0">
                  <c:v>Animal and vegetable oils, fats and waxes</c:v>
                </c:pt>
              </c:strCache>
            </c:strRef>
          </c:tx>
          <c:spPr>
            <a:solidFill>
              <a:srgbClr val="4299b0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'Main-Stats'!$C$44:$K$44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'Main-Stats'!$C$49:$K$49</c:f>
              <c:numCache>
                <c:formatCode>0.00</c:formatCode>
                <c:ptCount val="9"/>
                <c:pt idx="0">
                  <c:v>-0.575532289571772</c:v>
                </c:pt>
                <c:pt idx="1">
                  <c:v>0.000323773247091387</c:v>
                </c:pt>
                <c:pt idx="2">
                  <c:v>-0.916558819355204</c:v>
                </c:pt>
                <c:pt idx="3">
                  <c:v>-0.158061686371972</c:v>
                </c:pt>
                <c:pt idx="4">
                  <c:v>0.0620046316000202</c:v>
                </c:pt>
                <c:pt idx="5">
                  <c:v>1.862905488821</c:v>
                </c:pt>
                <c:pt idx="6">
                  <c:v>-1.35107410118773</c:v>
                </c:pt>
                <c:pt idx="7">
                  <c:v>1.51910704059889</c:v>
                </c:pt>
                <c:pt idx="8">
                  <c:v>-0.443114037780325</c:v>
                </c:pt>
              </c:numCache>
            </c:numRef>
          </c:val>
        </c:ser>
        <c:ser>
          <c:idx val="5"/>
          <c:order val="5"/>
          <c:tx>
            <c:strRef>
              <c:f>'Main-Stats'!B50</c:f>
              <c:strCache>
                <c:ptCount val="1"/>
                <c:pt idx="0">
                  <c:v>Chemicals and related products, nes</c:v>
                </c:pt>
              </c:strCache>
            </c:strRef>
          </c:tx>
          <c:spPr>
            <a:solidFill>
              <a:srgbClr val="dc853e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'Main-Stats'!$C$44:$K$44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'Main-Stats'!$C$50:$K$50</c:f>
              <c:numCache>
                <c:formatCode>0.00</c:formatCode>
                <c:ptCount val="9"/>
                <c:pt idx="0">
                  <c:v>-0.427840088520051</c:v>
                </c:pt>
                <c:pt idx="1">
                  <c:v>-0.0500353429249205</c:v>
                </c:pt>
                <c:pt idx="2">
                  <c:v>-0.226287247109953</c:v>
                </c:pt>
                <c:pt idx="3">
                  <c:v>0.0205187189166761</c:v>
                </c:pt>
                <c:pt idx="4">
                  <c:v>0.309437056140155</c:v>
                </c:pt>
                <c:pt idx="5">
                  <c:v>2.3569315533479</c:v>
                </c:pt>
                <c:pt idx="6">
                  <c:v>-1.75637759299861</c:v>
                </c:pt>
                <c:pt idx="7">
                  <c:v>-0.140247537577797</c:v>
                </c:pt>
                <c:pt idx="8">
                  <c:v>-0.0860995192733996</c:v>
                </c:pt>
              </c:numCache>
            </c:numRef>
          </c:val>
        </c:ser>
        <c:ser>
          <c:idx val="6"/>
          <c:order val="6"/>
          <c:tx>
            <c:strRef>
              <c:f>'Main-Stats'!B51</c:f>
              <c:strCache>
                <c:ptCount val="1"/>
                <c:pt idx="0">
                  <c:v>Manufactured goods classified chiefly by material</c:v>
                </c:pt>
              </c:strCache>
            </c:strRef>
          </c:tx>
          <c:spPr>
            <a:solidFill>
              <a:srgbClr val="93a9ce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'Main-Stats'!$C$44:$K$44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'Main-Stats'!$C$51:$K$51</c:f>
              <c:numCache>
                <c:formatCode>0.00</c:formatCode>
                <c:ptCount val="9"/>
                <c:pt idx="0">
                  <c:v>-0.566217321731046</c:v>
                </c:pt>
                <c:pt idx="1">
                  <c:v>1.00009965575583</c:v>
                </c:pt>
                <c:pt idx="2">
                  <c:v>-0.866879722336483</c:v>
                </c:pt>
                <c:pt idx="3">
                  <c:v>0.103566070161802</c:v>
                </c:pt>
                <c:pt idx="4">
                  <c:v>0.234702757464735</c:v>
                </c:pt>
                <c:pt idx="5">
                  <c:v>1.83016068862916</c:v>
                </c:pt>
                <c:pt idx="6">
                  <c:v>-1.8605135164063</c:v>
                </c:pt>
                <c:pt idx="7">
                  <c:v>0.20931515910221</c:v>
                </c:pt>
                <c:pt idx="8">
                  <c:v>-0.0842337706399161</c:v>
                </c:pt>
              </c:numCache>
            </c:numRef>
          </c:val>
        </c:ser>
        <c:ser>
          <c:idx val="7"/>
          <c:order val="7"/>
          <c:tx>
            <c:strRef>
              <c:f>'Main-Stats'!B52</c:f>
              <c:strCache>
                <c:ptCount val="1"/>
                <c:pt idx="0">
                  <c:v>Machinery and transport equipment</c:v>
                </c:pt>
              </c:strCache>
            </c:strRef>
          </c:tx>
          <c:spPr>
            <a:solidFill>
              <a:srgbClr val="d09493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'Main-Stats'!$C$44:$K$44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'Main-Stats'!$C$52:$K$52</c:f>
              <c:numCache>
                <c:formatCode>0.00</c:formatCode>
                <c:ptCount val="9"/>
                <c:pt idx="0">
                  <c:v>1.13682046318226</c:v>
                </c:pt>
                <c:pt idx="1">
                  <c:v>-0.707270273732704</c:v>
                </c:pt>
                <c:pt idx="2">
                  <c:v>-0.936895966623644</c:v>
                </c:pt>
                <c:pt idx="3">
                  <c:v>-1.665758352727</c:v>
                </c:pt>
                <c:pt idx="4">
                  <c:v>0.963185865105584</c:v>
                </c:pt>
                <c:pt idx="5">
                  <c:v>1.42437438010422</c:v>
                </c:pt>
                <c:pt idx="6">
                  <c:v>0.536363409775978</c:v>
                </c:pt>
                <c:pt idx="7">
                  <c:v>-0.495332612786851</c:v>
                </c:pt>
                <c:pt idx="8">
                  <c:v>-0.255486912297843</c:v>
                </c:pt>
              </c:numCache>
            </c:numRef>
          </c:val>
        </c:ser>
        <c:ser>
          <c:idx val="8"/>
          <c:order val="8"/>
          <c:tx>
            <c:strRef>
              <c:f>'Main-Stats'!B53</c:f>
              <c:strCache>
                <c:ptCount val="1"/>
                <c:pt idx="0">
                  <c:v>Miscellaneous manufactured articles</c:v>
                </c:pt>
              </c:strCache>
            </c:strRef>
          </c:tx>
          <c:spPr>
            <a:solidFill>
              <a:srgbClr val="b8cd97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'Main-Stats'!$C$44:$K$44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'Main-Stats'!$C$53:$K$53</c:f>
              <c:numCache>
                <c:formatCode>0.00</c:formatCode>
                <c:ptCount val="9"/>
                <c:pt idx="0">
                  <c:v>-0.897565693304492</c:v>
                </c:pt>
                <c:pt idx="1">
                  <c:v>0.761326978686675</c:v>
                </c:pt>
                <c:pt idx="2">
                  <c:v>-0.128235115781944</c:v>
                </c:pt>
                <c:pt idx="3">
                  <c:v>-1.10656828683125</c:v>
                </c:pt>
                <c:pt idx="4">
                  <c:v>0.704297818701985</c:v>
                </c:pt>
                <c:pt idx="5">
                  <c:v>1.80553801440861</c:v>
                </c:pt>
                <c:pt idx="6">
                  <c:v>-1.58643363741215</c:v>
                </c:pt>
                <c:pt idx="7">
                  <c:v>0.244484724203569</c:v>
                </c:pt>
                <c:pt idx="8">
                  <c:v>0.203155197329008</c:v>
                </c:pt>
              </c:numCache>
            </c:numRef>
          </c:val>
        </c:ser>
        <c:ser>
          <c:idx val="9"/>
          <c:order val="9"/>
          <c:tx>
            <c:strRef>
              <c:f>'Main-Stats'!B54</c:f>
              <c:strCache>
                <c:ptCount val="1"/>
                <c:pt idx="0">
                  <c:v>Commodities and transactions not classified elsewhere in the SITC</c:v>
                </c:pt>
              </c:strCache>
            </c:strRef>
          </c:tx>
          <c:spPr>
            <a:solidFill>
              <a:srgbClr val="a99b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'Main-Stats'!$C$44:$K$44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'Main-Stats'!$C$54:$K$54</c:f>
              <c:numCache>
                <c:formatCode>0.00</c:formatCode>
                <c:ptCount val="9"/>
                <c:pt idx="0">
                  <c:v>2.02031405246511</c:v>
                </c:pt>
                <c:pt idx="1">
                  <c:v>-1.32282462620921</c:v>
                </c:pt>
                <c:pt idx="2">
                  <c:v>-0.562599700140244</c:v>
                </c:pt>
                <c:pt idx="3">
                  <c:v>-0.283054275247058</c:v>
                </c:pt>
                <c:pt idx="4">
                  <c:v>-0.532514941524276</c:v>
                </c:pt>
                <c:pt idx="5">
                  <c:v>-0.203742808827345</c:v>
                </c:pt>
                <c:pt idx="6">
                  <c:v>-0.35900234499883</c:v>
                </c:pt>
                <c:pt idx="7">
                  <c:v>-0.257153307508701</c:v>
                </c:pt>
                <c:pt idx="8">
                  <c:v>1.50057795199055</c:v>
                </c:pt>
              </c:numCache>
            </c:numRef>
          </c:val>
        </c:ser>
        <c:gapWidth val="150"/>
        <c:overlap val="0"/>
        <c:axId val="20963977"/>
        <c:axId val="18381640"/>
      </c:barChart>
      <c:catAx>
        <c:axId val="209639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381640"/>
        <c:crosses val="autoZero"/>
        <c:auto val="1"/>
        <c:lblAlgn val="ctr"/>
        <c:lblOffset val="100"/>
        <c:noMultiLvlLbl val="0"/>
      </c:catAx>
      <c:valAx>
        <c:axId val="183816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Z-score of year on year growth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096397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Trade balance by main category, export minus import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Balance!B6</c:f>
              <c:strCache>
                <c:ptCount val="1"/>
                <c:pt idx="0">
                  <c:v>Food and live animals</c:v>
                </c:pt>
              </c:strCache>
            </c:strRef>
          </c:tx>
          <c:spPr>
            <a:solidFill>
              <a:srgbClr val="426fa6"/>
            </a:solidFill>
            <a:ln w="1260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Balance!$C$5:$L$5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Balance!$C$6:$L$6</c:f>
              <c:numCache>
                <c:formatCode>#,##0</c:formatCode>
                <c:ptCount val="10"/>
                <c:pt idx="0">
                  <c:v>18644</c:v>
                </c:pt>
                <c:pt idx="1">
                  <c:v>22292</c:v>
                </c:pt>
                <c:pt idx="2">
                  <c:v>20139</c:v>
                </c:pt>
                <c:pt idx="3">
                  <c:v>20711</c:v>
                </c:pt>
                <c:pt idx="4">
                  <c:v>18021</c:v>
                </c:pt>
                <c:pt idx="5">
                  <c:v>27130</c:v>
                </c:pt>
                <c:pt idx="6">
                  <c:v>33604</c:v>
                </c:pt>
                <c:pt idx="7">
                  <c:v>35065</c:v>
                </c:pt>
                <c:pt idx="8">
                  <c:v>30269</c:v>
                </c:pt>
                <c:pt idx="9">
                  <c:v>37528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Balance!B7</c:f>
              <c:strCache>
                <c:ptCount val="1"/>
                <c:pt idx="0">
                  <c:v>Beverages and tobacco</c:v>
                </c:pt>
              </c:strCache>
            </c:strRef>
          </c:tx>
          <c:spPr>
            <a:solidFill>
              <a:srgbClr val="aa433f"/>
            </a:solidFill>
            <a:ln w="1260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Balance!$C$5:$L$5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Balance!$C$7:$L$7</c:f>
              <c:numCache>
                <c:formatCode>#,##0</c:formatCode>
                <c:ptCount val="10"/>
                <c:pt idx="0">
                  <c:v>-592</c:v>
                </c:pt>
                <c:pt idx="1">
                  <c:v>-254</c:v>
                </c:pt>
                <c:pt idx="2">
                  <c:v>-164</c:v>
                </c:pt>
                <c:pt idx="3">
                  <c:v>-216</c:v>
                </c:pt>
                <c:pt idx="4">
                  <c:v>-192</c:v>
                </c:pt>
                <c:pt idx="5">
                  <c:v>-926</c:v>
                </c:pt>
                <c:pt idx="6">
                  <c:v>-1278</c:v>
                </c:pt>
                <c:pt idx="7">
                  <c:v>-970</c:v>
                </c:pt>
                <c:pt idx="8">
                  <c:v>-170</c:v>
                </c:pt>
                <c:pt idx="9">
                  <c:v>-312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Balance!B8</c:f>
              <c:strCache>
                <c:ptCount val="1"/>
                <c:pt idx="0">
                  <c:v>Crude materials, inedible, except fuels</c:v>
                </c:pt>
              </c:strCache>
            </c:strRef>
          </c:tx>
          <c:spPr>
            <a:solidFill>
              <a:srgbClr val="87a44b"/>
            </a:solidFill>
            <a:ln w="1260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Balance!$C$5:$L$5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Balance!$C$8:$L$8</c:f>
              <c:numCache>
                <c:formatCode>#,##0</c:formatCode>
                <c:ptCount val="10"/>
                <c:pt idx="0">
                  <c:v>80415</c:v>
                </c:pt>
                <c:pt idx="1">
                  <c:v>95929</c:v>
                </c:pt>
                <c:pt idx="2">
                  <c:v>102894</c:v>
                </c:pt>
                <c:pt idx="3">
                  <c:v>133277</c:v>
                </c:pt>
                <c:pt idx="4">
                  <c:v>148711</c:v>
                </c:pt>
                <c:pt idx="5">
                  <c:v>193932</c:v>
                </c:pt>
                <c:pt idx="6">
                  <c:v>183643</c:v>
                </c:pt>
                <c:pt idx="7">
                  <c:v>199030</c:v>
                </c:pt>
                <c:pt idx="8">
                  <c:v>175469</c:v>
                </c:pt>
                <c:pt idx="9">
                  <c:v>175366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Balance!B9</c:f>
              <c:strCache>
                <c:ptCount val="1"/>
                <c:pt idx="0">
                  <c:v>Mineral fuels, lubricants and related materials</c:v>
                </c:pt>
              </c:strCache>
            </c:strRef>
          </c:tx>
          <c:spPr>
            <a:solidFill>
              <a:srgbClr val="6f568d"/>
            </a:solidFill>
            <a:ln w="1260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Balance!$C$5:$L$5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Balance!$C$9:$L$9</c:f>
              <c:numCache>
                <c:formatCode>#,##0</c:formatCode>
                <c:ptCount val="10"/>
                <c:pt idx="0">
                  <c:v>44098</c:v>
                </c:pt>
                <c:pt idx="1">
                  <c:v>61344</c:v>
                </c:pt>
                <c:pt idx="2">
                  <c:v>81757</c:v>
                </c:pt>
                <c:pt idx="3">
                  <c:v>87494</c:v>
                </c:pt>
                <c:pt idx="4">
                  <c:v>65713</c:v>
                </c:pt>
                <c:pt idx="5">
                  <c:v>91843</c:v>
                </c:pt>
                <c:pt idx="6">
                  <c:v>185528</c:v>
                </c:pt>
                <c:pt idx="7">
                  <c:v>134898</c:v>
                </c:pt>
                <c:pt idx="8">
                  <c:v>114093</c:v>
                </c:pt>
                <c:pt idx="9">
                  <c:v>86923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Balance!B10</c:f>
              <c:strCache>
                <c:ptCount val="1"/>
                <c:pt idx="0">
                  <c:v>Animal and vegetable oils, fats and waxes</c:v>
                </c:pt>
              </c:strCache>
            </c:strRef>
          </c:tx>
          <c:spPr>
            <a:solidFill>
              <a:srgbClr val="3d97af"/>
            </a:solidFill>
            <a:ln w="1260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Balance!$C$5:$L$5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Balance!$C$10:$L$10</c:f>
              <c:numCache>
                <c:formatCode>#,##0</c:formatCode>
                <c:ptCount val="10"/>
                <c:pt idx="0">
                  <c:v>-25</c:v>
                </c:pt>
                <c:pt idx="1">
                  <c:v>-22</c:v>
                </c:pt>
                <c:pt idx="2">
                  <c:v>-93</c:v>
                </c:pt>
                <c:pt idx="3">
                  <c:v>-78</c:v>
                </c:pt>
                <c:pt idx="4">
                  <c:v>-5</c:v>
                </c:pt>
                <c:pt idx="5">
                  <c:v>254</c:v>
                </c:pt>
                <c:pt idx="6">
                  <c:v>588</c:v>
                </c:pt>
                <c:pt idx="7">
                  <c:v>621</c:v>
                </c:pt>
                <c:pt idx="8">
                  <c:v>140</c:v>
                </c:pt>
                <c:pt idx="9">
                  <c:v>524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Balance!B11</c:f>
              <c:strCache>
                <c:ptCount val="1"/>
                <c:pt idx="0">
                  <c:v>Chemicals and related products, nes</c:v>
                </c:pt>
              </c:strCache>
            </c:strRef>
          </c:tx>
          <c:spPr>
            <a:solidFill>
              <a:srgbClr val="db8238"/>
            </a:solidFill>
            <a:ln w="1260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Balance!$C$5:$L$5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Balance!$C$11:$L$11</c:f>
              <c:numCache>
                <c:formatCode>#,##0</c:formatCode>
                <c:ptCount val="10"/>
                <c:pt idx="0">
                  <c:v>-19338</c:v>
                </c:pt>
                <c:pt idx="1">
                  <c:v>-19411</c:v>
                </c:pt>
                <c:pt idx="2">
                  <c:v>-19327</c:v>
                </c:pt>
                <c:pt idx="3">
                  <c:v>-19053</c:v>
                </c:pt>
                <c:pt idx="4">
                  <c:v>-22199</c:v>
                </c:pt>
                <c:pt idx="5">
                  <c:v>-26969</c:v>
                </c:pt>
                <c:pt idx="6">
                  <c:v>-38818</c:v>
                </c:pt>
                <c:pt idx="7">
                  <c:v>-31347</c:v>
                </c:pt>
                <c:pt idx="8">
                  <c:v>-32760</c:v>
                </c:pt>
                <c:pt idx="9">
                  <c:v>-35534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Balance!B12</c:f>
              <c:strCache>
                <c:ptCount val="1"/>
                <c:pt idx="0">
                  <c:v>Manufactured goods classified chiefly by material</c:v>
                </c:pt>
              </c:strCache>
            </c:strRef>
          </c:tx>
          <c:spPr>
            <a:solidFill>
              <a:srgbClr val="8ea5ca"/>
            </a:solidFill>
            <a:ln w="1260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Balance!$C$5:$L$5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Balance!$C$12:$L$12</c:f>
              <c:numCache>
                <c:formatCode>#,##0</c:formatCode>
                <c:ptCount val="10"/>
                <c:pt idx="0">
                  <c:v>-14817</c:v>
                </c:pt>
                <c:pt idx="1">
                  <c:v>-13952</c:v>
                </c:pt>
                <c:pt idx="2">
                  <c:v>-15412</c:v>
                </c:pt>
                <c:pt idx="3">
                  <c:v>-14719</c:v>
                </c:pt>
                <c:pt idx="4">
                  <c:v>-19691</c:v>
                </c:pt>
                <c:pt idx="5">
                  <c:v>-20274</c:v>
                </c:pt>
                <c:pt idx="6">
                  <c:v>-24590</c:v>
                </c:pt>
                <c:pt idx="7">
                  <c:v>-21283</c:v>
                </c:pt>
                <c:pt idx="8">
                  <c:v>-23096</c:v>
                </c:pt>
                <c:pt idx="9">
                  <c:v>-23153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Balance!B13</c:f>
              <c:strCache>
                <c:ptCount val="1"/>
                <c:pt idx="0">
                  <c:v>Machinery and transport equipment</c:v>
                </c:pt>
              </c:strCache>
            </c:strRef>
          </c:tx>
          <c:spPr>
            <a:solidFill>
              <a:srgbClr val="cc8f8e"/>
            </a:solidFill>
            <a:ln w="1260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Balance!$C$5:$L$5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Balance!$C$13:$L$13</c:f>
              <c:numCache>
                <c:formatCode>#,##0</c:formatCode>
                <c:ptCount val="10"/>
                <c:pt idx="0">
                  <c:v>-87945</c:v>
                </c:pt>
                <c:pt idx="1">
                  <c:v>-103295</c:v>
                </c:pt>
                <c:pt idx="2">
                  <c:v>-106052</c:v>
                </c:pt>
                <c:pt idx="3">
                  <c:v>-106294</c:v>
                </c:pt>
                <c:pt idx="4">
                  <c:v>-105068</c:v>
                </c:pt>
                <c:pt idx="5">
                  <c:v>-120677</c:v>
                </c:pt>
                <c:pt idx="6">
                  <c:v>-140384</c:v>
                </c:pt>
                <c:pt idx="7">
                  <c:v>-154751</c:v>
                </c:pt>
                <c:pt idx="8">
                  <c:v>-160202</c:v>
                </c:pt>
                <c:pt idx="9">
                  <c:v>-168746</c:v>
                </c:pt>
              </c:numCache>
            </c:numRef>
          </c:val>
          <c:smooth val="1"/>
        </c:ser>
        <c:ser>
          <c:idx val="8"/>
          <c:order val="8"/>
          <c:tx>
            <c:strRef>
              <c:f>Balance!B14</c:f>
              <c:strCache>
                <c:ptCount val="1"/>
                <c:pt idx="0">
                  <c:v>Miscellaneous manufactured articles</c:v>
                </c:pt>
              </c:strCache>
            </c:strRef>
          </c:tx>
          <c:spPr>
            <a:solidFill>
              <a:srgbClr val="b3c992"/>
            </a:solidFill>
            <a:ln w="1260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Balance!$C$5:$L$5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Balance!$C$14:$L$14</c:f>
              <c:numCache>
                <c:formatCode>#,##0</c:formatCode>
                <c:ptCount val="10"/>
                <c:pt idx="0">
                  <c:v>-33807</c:v>
                </c:pt>
                <c:pt idx="1">
                  <c:v>-33714</c:v>
                </c:pt>
                <c:pt idx="2">
                  <c:v>-37011</c:v>
                </c:pt>
                <c:pt idx="3">
                  <c:v>-38100</c:v>
                </c:pt>
                <c:pt idx="4">
                  <c:v>-38662</c:v>
                </c:pt>
                <c:pt idx="5">
                  <c:v>-42095</c:v>
                </c:pt>
                <c:pt idx="6">
                  <c:v>-48399</c:v>
                </c:pt>
                <c:pt idx="7">
                  <c:v>-45181</c:v>
                </c:pt>
                <c:pt idx="8">
                  <c:v>-48336</c:v>
                </c:pt>
                <c:pt idx="9">
                  <c:v>-51165</c:v>
                </c:pt>
              </c:numCache>
            </c:numRef>
          </c:val>
          <c:smooth val="1"/>
        </c:ser>
        <c:ser>
          <c:idx val="9"/>
          <c:order val="9"/>
          <c:tx>
            <c:strRef>
              <c:f>Balance!B15</c:f>
              <c:strCache>
                <c:ptCount val="1"/>
                <c:pt idx="0">
                  <c:v>Commodities and transactions not classified elsewhere in the SITC</c:v>
                </c:pt>
              </c:strCache>
            </c:strRef>
          </c:tx>
          <c:spPr>
            <a:solidFill>
              <a:srgbClr val="a596b9"/>
            </a:solidFill>
            <a:ln w="1260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Balance!$C$5:$L$5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Balance!$C$15:$L$15</c:f>
              <c:numCache>
                <c:formatCode>#,##0</c:formatCode>
                <c:ptCount val="10"/>
                <c:pt idx="0">
                  <c:v>17490</c:v>
                </c:pt>
                <c:pt idx="1">
                  <c:v>4126</c:v>
                </c:pt>
                <c:pt idx="2">
                  <c:v>13835</c:v>
                </c:pt>
                <c:pt idx="3">
                  <c:v>19410</c:v>
                </c:pt>
                <c:pt idx="4">
                  <c:v>22494</c:v>
                </c:pt>
                <c:pt idx="5">
                  <c:v>25722</c:v>
                </c:pt>
                <c:pt idx="6">
                  <c:v>26963</c:v>
                </c:pt>
                <c:pt idx="7">
                  <c:v>28672</c:v>
                </c:pt>
                <c:pt idx="8">
                  <c:v>31699</c:v>
                </c:pt>
                <c:pt idx="9">
                  <c:v>40792</c:v>
                </c:pt>
              </c:numCache>
            </c:numRef>
          </c:val>
          <c:smooth val="1"/>
        </c:ser>
        <c:ser>
          <c:idx val="10"/>
          <c:order val="10"/>
          <c:tx>
            <c:strRef>
              <c:f>Balance!B16</c:f>
              <c:strCache>
                <c:ptCount val="1"/>
                <c:pt idx="0">
                  <c:v>TOTAL, all categories</c:v>
                </c:pt>
              </c:strCache>
            </c:strRef>
          </c:tx>
          <c:spPr>
            <a:solidFill>
              <a:srgbClr val="8cbfd2"/>
            </a:solidFill>
            <a:ln w="12600">
              <a:solidFill>
                <a:srgbClr val="8cbfd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Balance!$C$5:$L$5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Balance!$C$16:$L$16</c:f>
              <c:numCache>
                <c:formatCode>#,##0</c:formatCode>
                <c:ptCount val="10"/>
                <c:pt idx="0">
                  <c:v>4124</c:v>
                </c:pt>
                <c:pt idx="1">
                  <c:v>13043</c:v>
                </c:pt>
                <c:pt idx="2">
                  <c:v>40565</c:v>
                </c:pt>
                <c:pt idx="3">
                  <c:v>82432</c:v>
                </c:pt>
                <c:pt idx="4">
                  <c:v>69125</c:v>
                </c:pt>
                <c:pt idx="5">
                  <c:v>127934</c:v>
                </c:pt>
                <c:pt idx="6">
                  <c:v>176863</c:v>
                </c:pt>
                <c:pt idx="7">
                  <c:v>144754</c:v>
                </c:pt>
                <c:pt idx="8">
                  <c:v>87110</c:v>
                </c:pt>
                <c:pt idx="9">
                  <c:v>62232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3158052"/>
        <c:axId val="84088483"/>
      </c:lineChart>
      <c:catAx>
        <c:axId val="231580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4088483"/>
        <c:crosses val="autoZero"/>
        <c:auto val="1"/>
        <c:lblAlgn val="ctr"/>
        <c:lblOffset val="100"/>
        <c:noMultiLvlLbl val="0"/>
      </c:catAx>
      <c:valAx>
        <c:axId val="840884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$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315805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Cover ratio by main category, export divided by import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Balance!B20</c:f>
              <c:strCache>
                <c:ptCount val="1"/>
                <c:pt idx="0">
                  <c:v>Food and live animals</c:v>
                </c:pt>
              </c:strCache>
            </c:strRef>
          </c:tx>
          <c:spPr>
            <a:solidFill>
              <a:srgbClr val="426fa6"/>
            </a:solidFill>
            <a:ln w="1260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Balance!$C$19:$L$19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Balance!$C$20:$L$20</c:f>
              <c:numCache>
                <c:formatCode>0.00</c:formatCode>
                <c:ptCount val="10"/>
                <c:pt idx="0">
                  <c:v>2.33390570222508</c:v>
                </c:pt>
                <c:pt idx="1">
                  <c:v>2.5584451901566</c:v>
                </c:pt>
                <c:pt idx="2">
                  <c:v>2.33088818398097</c:v>
                </c:pt>
                <c:pt idx="3">
                  <c:v>2.22275357185028</c:v>
                </c:pt>
                <c:pt idx="4">
                  <c:v>2.02351337536207</c:v>
                </c:pt>
                <c:pt idx="5">
                  <c:v>2.65326020719074</c:v>
                </c:pt>
                <c:pt idx="6">
                  <c:v>2.72169279639307</c:v>
                </c:pt>
                <c:pt idx="7">
                  <c:v>2.78139605771185</c:v>
                </c:pt>
                <c:pt idx="8">
                  <c:v>2.35778046920558</c:v>
                </c:pt>
                <c:pt idx="9">
                  <c:v>2.53081786661228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Balance!B21</c:f>
              <c:strCache>
                <c:ptCount val="1"/>
                <c:pt idx="0">
                  <c:v>Beverages and tobacco</c:v>
                </c:pt>
              </c:strCache>
            </c:strRef>
          </c:tx>
          <c:spPr>
            <a:solidFill>
              <a:srgbClr val="aa433f"/>
            </a:solidFill>
            <a:ln w="1260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Balance!$C$19:$L$19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Balance!$C$21:$L$21</c:f>
              <c:numCache>
                <c:formatCode>0.00</c:formatCode>
                <c:ptCount val="10"/>
                <c:pt idx="0">
                  <c:v>0.819015591562213</c:v>
                </c:pt>
                <c:pt idx="1">
                  <c:v>0.922678843226788</c:v>
                </c:pt>
                <c:pt idx="2">
                  <c:v>0.953685399604632</c:v>
                </c:pt>
                <c:pt idx="3">
                  <c:v>0.943127962085308</c:v>
                </c:pt>
                <c:pt idx="4">
                  <c:v>0.944748201438849</c:v>
                </c:pt>
                <c:pt idx="5">
                  <c:v>0.731516381559872</c:v>
                </c:pt>
                <c:pt idx="6">
                  <c:v>0.668051948051948</c:v>
                </c:pt>
                <c:pt idx="7">
                  <c:v>0.724275156338829</c:v>
                </c:pt>
                <c:pt idx="8">
                  <c:v>0.949238578680203</c:v>
                </c:pt>
                <c:pt idx="9">
                  <c:v>0.907637655417407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Balance!B22</c:f>
              <c:strCache>
                <c:ptCount val="1"/>
                <c:pt idx="0">
                  <c:v>Crude materials, inedible, except fuels</c:v>
                </c:pt>
              </c:strCache>
            </c:strRef>
          </c:tx>
          <c:spPr>
            <a:solidFill>
              <a:srgbClr val="87a44b"/>
            </a:solidFill>
            <a:ln w="1260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Balance!$C$19:$L$19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Balance!$C$22:$L$22</c:f>
              <c:numCache>
                <c:formatCode>0.00</c:formatCode>
                <c:ptCount val="10"/>
                <c:pt idx="0">
                  <c:v>26.0826575171553</c:v>
                </c:pt>
                <c:pt idx="1">
                  <c:v>28.0680022573363</c:v>
                </c:pt>
                <c:pt idx="2">
                  <c:v>26.8203262233375</c:v>
                </c:pt>
                <c:pt idx="3">
                  <c:v>43.4719566602932</c:v>
                </c:pt>
                <c:pt idx="4">
                  <c:v>46.6588885477433</c:v>
                </c:pt>
                <c:pt idx="5">
                  <c:v>46.6632917353426</c:v>
                </c:pt>
                <c:pt idx="6">
                  <c:v>40.4676552761659</c:v>
                </c:pt>
                <c:pt idx="7">
                  <c:v>51.6308827270415</c:v>
                </c:pt>
                <c:pt idx="8">
                  <c:v>43.5999028890507</c:v>
                </c:pt>
                <c:pt idx="9">
                  <c:v>34.1818353831599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Balance!B23</c:f>
              <c:strCache>
                <c:ptCount val="1"/>
                <c:pt idx="0">
                  <c:v>Mineral fuels, lubricants and related materials</c:v>
                </c:pt>
              </c:strCache>
            </c:strRef>
          </c:tx>
          <c:spPr>
            <a:solidFill>
              <a:srgbClr val="6f568d"/>
            </a:solidFill>
            <a:ln w="1260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Balance!$C$19:$L$19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Balance!$C$23:$L$23</c:f>
              <c:numCache>
                <c:formatCode>0.00</c:formatCode>
                <c:ptCount val="10"/>
                <c:pt idx="0">
                  <c:v>2.86824267073377</c:v>
                </c:pt>
                <c:pt idx="1">
                  <c:v>3.05817815802718</c:v>
                </c:pt>
                <c:pt idx="2">
                  <c:v>3.01809340442338</c:v>
                </c:pt>
                <c:pt idx="3">
                  <c:v>3.25534876527298</c:v>
                </c:pt>
                <c:pt idx="4">
                  <c:v>3.8437337718539</c:v>
                </c:pt>
                <c:pt idx="5">
                  <c:v>3.65810951609169</c:v>
                </c:pt>
                <c:pt idx="6">
                  <c:v>3.81931738747227</c:v>
                </c:pt>
                <c:pt idx="7">
                  <c:v>3.22416777959143</c:v>
                </c:pt>
                <c:pt idx="8">
                  <c:v>3.01048476625139</c:v>
                </c:pt>
                <c:pt idx="9">
                  <c:v>2.6321116076458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Balance!B24</c:f>
              <c:strCache>
                <c:ptCount val="1"/>
                <c:pt idx="0">
                  <c:v>Animal and vegetable oils, fats and waxes</c:v>
                </c:pt>
              </c:strCache>
            </c:strRef>
          </c:tx>
          <c:spPr>
            <a:solidFill>
              <a:srgbClr val="3d97af"/>
            </a:solidFill>
            <a:ln w="1260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Balance!$C$19:$L$19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Balance!$C$24:$L$24</c:f>
              <c:numCache>
                <c:formatCode>0.00</c:formatCode>
                <c:ptCount val="10"/>
                <c:pt idx="0">
                  <c:v>0.964285714285714</c:v>
                </c:pt>
                <c:pt idx="1">
                  <c:v>0.968660968660969</c:v>
                </c:pt>
                <c:pt idx="2">
                  <c:v>0.876984126984127</c:v>
                </c:pt>
                <c:pt idx="3">
                  <c:v>0.892413793103448</c:v>
                </c:pt>
                <c:pt idx="4">
                  <c:v>0.993472584856397</c:v>
                </c:pt>
                <c:pt idx="5">
                  <c:v>1.30565583634176</c:v>
                </c:pt>
                <c:pt idx="6">
                  <c:v>1.53747714808044</c:v>
                </c:pt>
                <c:pt idx="7">
                  <c:v>1.62854251012146</c:v>
                </c:pt>
                <c:pt idx="8">
                  <c:v>1.11137629276054</c:v>
                </c:pt>
                <c:pt idx="9">
                  <c:v>1.40873634945398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Balance!B25</c:f>
              <c:strCache>
                <c:ptCount val="1"/>
                <c:pt idx="0">
                  <c:v>Chemicals and related products, nes</c:v>
                </c:pt>
              </c:strCache>
            </c:strRef>
          </c:tx>
          <c:spPr>
            <a:solidFill>
              <a:srgbClr val="db8238"/>
            </a:solidFill>
            <a:ln w="1260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Balance!$C$19:$L$19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Balance!$C$25:$L$25</c:f>
              <c:numCache>
                <c:formatCode>0.00</c:formatCode>
                <c:ptCount val="10"/>
                <c:pt idx="0">
                  <c:v>0.302003248511099</c:v>
                </c:pt>
                <c:pt idx="1">
                  <c:v>0.308084408640479</c:v>
                </c:pt>
                <c:pt idx="2">
                  <c:v>0.352247209840131</c:v>
                </c:pt>
                <c:pt idx="3">
                  <c:v>0.385862558019598</c:v>
                </c:pt>
                <c:pt idx="4">
                  <c:v>0.333183142591091</c:v>
                </c:pt>
                <c:pt idx="5">
                  <c:v>0.271521568839307</c:v>
                </c:pt>
                <c:pt idx="6">
                  <c:v>0.244683128052459</c:v>
                </c:pt>
                <c:pt idx="7">
                  <c:v>0.268123555368775</c:v>
                </c:pt>
                <c:pt idx="8">
                  <c:v>0.272517321016166</c:v>
                </c:pt>
                <c:pt idx="9">
                  <c:v>0.25466177241741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Balance!B26</c:f>
              <c:strCache>
                <c:ptCount val="1"/>
                <c:pt idx="0">
                  <c:v>Manufactured goods classified chiefly by material</c:v>
                </c:pt>
              </c:strCache>
            </c:strRef>
          </c:tx>
          <c:spPr>
            <a:solidFill>
              <a:srgbClr val="8ea5ca"/>
            </a:solidFill>
            <a:ln w="1260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Balance!$C$19:$L$19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Balance!$C$26:$L$26</c:f>
              <c:numCache>
                <c:formatCode>0.00</c:formatCode>
                <c:ptCount val="10"/>
                <c:pt idx="0">
                  <c:v>0.475002657407079</c:v>
                </c:pt>
                <c:pt idx="1">
                  <c:v>0.513884533639943</c:v>
                </c:pt>
                <c:pt idx="2">
                  <c:v>0.524951453318127</c:v>
                </c:pt>
                <c:pt idx="3">
                  <c:v>0.544105804373413</c:v>
                </c:pt>
                <c:pt idx="4">
                  <c:v>0.427570568911887</c:v>
                </c:pt>
                <c:pt idx="5">
                  <c:v>0.451713227141196</c:v>
                </c:pt>
                <c:pt idx="6">
                  <c:v>0.441402966765862</c:v>
                </c:pt>
                <c:pt idx="7">
                  <c:v>0.476304133858268</c:v>
                </c:pt>
                <c:pt idx="8">
                  <c:v>0.470408841805966</c:v>
                </c:pt>
                <c:pt idx="9">
                  <c:v>0.495269445413324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Balance!B27</c:f>
              <c:strCache>
                <c:ptCount val="1"/>
                <c:pt idx="0">
                  <c:v>Machinery and transport equipment</c:v>
                </c:pt>
              </c:strCache>
            </c:strRef>
          </c:tx>
          <c:spPr>
            <a:solidFill>
              <a:srgbClr val="cc8f8e"/>
            </a:solidFill>
            <a:ln w="1260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Balance!$C$19:$L$19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Balance!$C$27:$L$27</c:f>
              <c:numCache>
                <c:formatCode>0.00</c:formatCode>
                <c:ptCount val="10"/>
                <c:pt idx="0">
                  <c:v>0.148908373011265</c:v>
                </c:pt>
                <c:pt idx="1">
                  <c:v>0.124121323124147</c:v>
                </c:pt>
                <c:pt idx="2">
                  <c:v>0.126453823597246</c:v>
                </c:pt>
                <c:pt idx="3">
                  <c:v>0.137825868306215</c:v>
                </c:pt>
                <c:pt idx="4">
                  <c:v>0.122576119452842</c:v>
                </c:pt>
                <c:pt idx="5">
                  <c:v>0.108769986337284</c:v>
                </c:pt>
                <c:pt idx="6">
                  <c:v>0.105264499681326</c:v>
                </c:pt>
                <c:pt idx="7">
                  <c:v>0.107317354561449</c:v>
                </c:pt>
                <c:pt idx="8">
                  <c:v>0.11336794217593</c:v>
                </c:pt>
                <c:pt idx="9">
                  <c:v>0.116309516328369</c:v>
                </c:pt>
              </c:numCache>
            </c:numRef>
          </c:val>
          <c:smooth val="1"/>
        </c:ser>
        <c:ser>
          <c:idx val="8"/>
          <c:order val="8"/>
          <c:tx>
            <c:strRef>
              <c:f>Balance!B28</c:f>
              <c:strCache>
                <c:ptCount val="1"/>
                <c:pt idx="0">
                  <c:v>Miscellaneous manufactured articles</c:v>
                </c:pt>
              </c:strCache>
            </c:strRef>
          </c:tx>
          <c:spPr>
            <a:solidFill>
              <a:srgbClr val="b3c992"/>
            </a:solidFill>
            <a:ln w="1260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Balance!$C$19:$L$19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Balance!$C$28:$L$28</c:f>
              <c:numCache>
                <c:formatCode>0.00</c:formatCode>
                <c:ptCount val="10"/>
                <c:pt idx="0">
                  <c:v>0.162467484206615</c:v>
                </c:pt>
                <c:pt idx="1">
                  <c:v>0.169012348721994</c:v>
                </c:pt>
                <c:pt idx="2">
                  <c:v>0.164518386419558</c:v>
                </c:pt>
                <c:pt idx="3">
                  <c:v>0.177247991707696</c:v>
                </c:pt>
                <c:pt idx="4">
                  <c:v>0.160215474173509</c:v>
                </c:pt>
                <c:pt idx="5">
                  <c:v>0.160300013963416</c:v>
                </c:pt>
                <c:pt idx="6">
                  <c:v>0.157926786832765</c:v>
                </c:pt>
                <c:pt idx="7">
                  <c:v>0.188821860749039</c:v>
                </c:pt>
                <c:pt idx="8">
                  <c:v>0.185027819929186</c:v>
                </c:pt>
                <c:pt idx="9">
                  <c:v>0.188217934886082</c:v>
                </c:pt>
              </c:numCache>
            </c:numRef>
          </c:val>
          <c:smooth val="1"/>
        </c:ser>
        <c:ser>
          <c:idx val="9"/>
          <c:order val="9"/>
          <c:tx>
            <c:strRef>
              <c:f>Balance!B29</c:f>
              <c:strCache>
                <c:ptCount val="1"/>
                <c:pt idx="0">
                  <c:v>Commodities and transactions not classified elsewhere in the SITC</c:v>
                </c:pt>
              </c:strCache>
            </c:strRef>
          </c:tx>
          <c:spPr>
            <a:solidFill>
              <a:srgbClr val="a596b9"/>
            </a:solidFill>
            <a:ln w="1260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Balance!$C$19:$L$19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Balance!$C$29:$L$29</c:f>
              <c:numCache>
                <c:formatCode>0.00</c:formatCode>
                <c:ptCount val="10"/>
                <c:pt idx="0">
                  <c:v>2.75567155189721</c:v>
                </c:pt>
                <c:pt idx="1">
                  <c:v>1.19283077066879</c:v>
                </c:pt>
                <c:pt idx="2">
                  <c:v>2.13962108731466</c:v>
                </c:pt>
                <c:pt idx="3">
                  <c:v>2.72517998400142</c:v>
                </c:pt>
                <c:pt idx="4">
                  <c:v>2.88803088803089</c:v>
                </c:pt>
                <c:pt idx="5">
                  <c:v>3.29435375970029</c:v>
                </c:pt>
                <c:pt idx="6">
                  <c:v>3.19354051415555</c:v>
                </c:pt>
                <c:pt idx="7">
                  <c:v>3.28007952286282</c:v>
                </c:pt>
                <c:pt idx="8">
                  <c:v>3.35330363771344</c:v>
                </c:pt>
                <c:pt idx="9">
                  <c:v>2.59206931543205</c:v>
                </c:pt>
              </c:numCache>
            </c:numRef>
          </c:val>
          <c:smooth val="1"/>
        </c:ser>
        <c:ser>
          <c:idx val="10"/>
          <c:order val="10"/>
          <c:tx>
            <c:strRef>
              <c:f>Balance!B30</c:f>
              <c:strCache>
                <c:ptCount val="1"/>
                <c:pt idx="0">
                  <c:v>TOTAL, all categories</c:v>
                </c:pt>
              </c:strCache>
            </c:strRef>
          </c:tx>
          <c:spPr>
            <a:solidFill>
              <a:srgbClr val="8cbfd2"/>
            </a:solidFill>
            <a:ln w="12600">
              <a:solidFill>
                <a:srgbClr val="8cbfd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Balance!$C$19:$L$19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Balance!$C$30:$L$30</c:f>
              <c:numCache>
                <c:formatCode>0.00</c:formatCode>
                <c:ptCount val="10"/>
                <c:pt idx="0">
                  <c:v>1.01621419725176</c:v>
                </c:pt>
                <c:pt idx="1">
                  <c:v>1.04524248068792</c:v>
                </c:pt>
                <c:pt idx="2">
                  <c:v>1.13341555665187</c:v>
                </c:pt>
                <c:pt idx="3">
                  <c:v>1.26802883442964</c:v>
                </c:pt>
                <c:pt idx="4">
                  <c:v>1.23543696760592</c:v>
                </c:pt>
                <c:pt idx="5">
                  <c:v>1.38740408316527</c:v>
                </c:pt>
                <c:pt idx="6">
                  <c:v>1.42412986028844</c:v>
                </c:pt>
                <c:pt idx="7">
                  <c:v>1.34975801521738</c:v>
                </c:pt>
                <c:pt idx="8">
                  <c:v>1.20264124520498</c:v>
                </c:pt>
                <c:pt idx="9">
                  <c:v>1.13503274270612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9213929"/>
        <c:axId val="36221337"/>
      </c:lineChart>
      <c:catAx>
        <c:axId val="192139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6221337"/>
        <c:crosses val="autoZero"/>
        <c:auto val="1"/>
        <c:lblAlgn val="ctr"/>
        <c:lblOffset val="100"/>
        <c:noMultiLvlLbl val="0"/>
      </c:catAx>
      <c:valAx>
        <c:axId val="362213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Cover ratio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21392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Main category 3 and its subcategories, export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'Cat3-SubAnalytics'!B6</c:f>
              <c:strCache>
                <c:ptCount val="1"/>
                <c:pt idx="0">
                  <c:v>Mineral fuels, lubricants and related materials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'Cat3-SubAnalytics'!$C$5:$L$5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'Cat3-SubAnalytics'!$C$6:$L$6</c:f>
              <c:numCache>
                <c:formatCode>#,##0</c:formatCode>
                <c:ptCount val="10"/>
                <c:pt idx="0">
                  <c:v>67702</c:v>
                </c:pt>
                <c:pt idx="1">
                  <c:v>91149</c:v>
                </c:pt>
                <c:pt idx="2">
                  <c:v>122269</c:v>
                </c:pt>
                <c:pt idx="3">
                  <c:v>126288</c:v>
                </c:pt>
                <c:pt idx="4">
                  <c:v>88821</c:v>
                </c:pt>
                <c:pt idx="5">
                  <c:v>126395</c:v>
                </c:pt>
                <c:pt idx="6">
                  <c:v>251334</c:v>
                </c:pt>
                <c:pt idx="7">
                  <c:v>195549</c:v>
                </c:pt>
                <c:pt idx="8">
                  <c:v>170842</c:v>
                </c:pt>
                <c:pt idx="9">
                  <c:v>140181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'Cat3-SubAnalytics'!B7</c:f>
              <c:strCache>
                <c:ptCount val="1"/>
                <c:pt idx="0">
                  <c:v>Coal, coke and briquettes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'Cat3-SubAnalytics'!$C$5:$L$5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'Cat3-SubAnalytics'!$C$7:$L$7</c:f>
              <c:numCache>
                <c:formatCode>#,##0</c:formatCode>
                <c:ptCount val="10"/>
                <c:pt idx="0">
                  <c:v>42273</c:v>
                </c:pt>
                <c:pt idx="1">
                  <c:v>57133</c:v>
                </c:pt>
                <c:pt idx="2">
                  <c:v>66848</c:v>
                </c:pt>
                <c:pt idx="3">
                  <c:v>63941</c:v>
                </c:pt>
                <c:pt idx="4">
                  <c:v>43367</c:v>
                </c:pt>
                <c:pt idx="5">
                  <c:v>63504</c:v>
                </c:pt>
                <c:pt idx="6">
                  <c:v>142345</c:v>
                </c:pt>
                <c:pt idx="7">
                  <c:v>103331</c:v>
                </c:pt>
                <c:pt idx="8">
                  <c:v>85445</c:v>
                </c:pt>
                <c:pt idx="9">
                  <c:v>64478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'Cat3-SubAnalytics'!B8</c:f>
              <c:strCache>
                <c:ptCount val="1"/>
                <c:pt idx="0">
                  <c:v>Petroleum, petroleum products and related materials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'Cat3-SubAnalytics'!$C$5:$L$5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'Cat3-SubAnalytics'!$C$8:$L$8</c:f>
              <c:numCache>
                <c:formatCode>#,##0</c:formatCode>
                <c:ptCount val="10"/>
                <c:pt idx="0">
                  <c:v>6946</c:v>
                </c:pt>
                <c:pt idx="1">
                  <c:v>7662</c:v>
                </c:pt>
                <c:pt idx="2">
                  <c:v>11191</c:v>
                </c:pt>
                <c:pt idx="3">
                  <c:v>12224</c:v>
                </c:pt>
                <c:pt idx="4">
                  <c:v>7755</c:v>
                </c:pt>
                <c:pt idx="5">
                  <c:v>11715</c:v>
                </c:pt>
                <c:pt idx="6">
                  <c:v>17341</c:v>
                </c:pt>
                <c:pt idx="7">
                  <c:v>15760</c:v>
                </c:pt>
                <c:pt idx="8">
                  <c:v>15713</c:v>
                </c:pt>
                <c:pt idx="9">
                  <c:v>14187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'Cat3-SubAnalytics'!B9</c:f>
              <c:strCache>
                <c:ptCount val="1"/>
                <c:pt idx="0">
                  <c:v>Gas, natural and manufactured</c:v>
                </c:pt>
              </c:strCache>
            </c:strRef>
          </c:tx>
          <c:spPr>
            <a:solidFill>
              <a:srgbClr val="7d5fa0"/>
            </a:solidFill>
            <a:ln w="1260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'Cat3-SubAnalytics'!$C$5:$L$5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'Cat3-SubAnalytics'!$C$9:$L$9</c:f>
              <c:numCache>
                <c:formatCode>#,##0</c:formatCode>
                <c:ptCount val="10"/>
                <c:pt idx="0">
                  <c:v>18480</c:v>
                </c:pt>
                <c:pt idx="1">
                  <c:v>26355</c:v>
                </c:pt>
                <c:pt idx="2">
                  <c:v>44229</c:v>
                </c:pt>
                <c:pt idx="3">
                  <c:v>50124</c:v>
                </c:pt>
                <c:pt idx="4">
                  <c:v>37699</c:v>
                </c:pt>
                <c:pt idx="5">
                  <c:v>51179</c:v>
                </c:pt>
                <c:pt idx="6">
                  <c:v>91648</c:v>
                </c:pt>
                <c:pt idx="7">
                  <c:v>76456</c:v>
                </c:pt>
                <c:pt idx="8">
                  <c:v>69682</c:v>
                </c:pt>
                <c:pt idx="9">
                  <c:v>61513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5265761"/>
        <c:axId val="58621654"/>
      </c:lineChart>
      <c:catAx>
        <c:axId val="252657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8621654"/>
        <c:crosses val="autoZero"/>
        <c:auto val="1"/>
        <c:lblAlgn val="ctr"/>
        <c:lblOffset val="100"/>
        <c:noMultiLvlLbl val="0"/>
      </c:catAx>
      <c:valAx>
        <c:axId val="586216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$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526576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Main category 3 and its subcategories, import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'Cat3-SubAnalytics'!B41</c:f>
              <c:strCache>
                <c:ptCount val="1"/>
                <c:pt idx="0">
                  <c:v>Mineral fuels, lubricants and related materials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'Cat3-SubAnalytics'!$C$40:$L$40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'Cat3-SubAnalytics'!$C$41:$L$41</c:f>
              <c:numCache>
                <c:formatCode>#,##0</c:formatCode>
                <c:ptCount val="10"/>
                <c:pt idx="0">
                  <c:v>23604</c:v>
                </c:pt>
                <c:pt idx="1">
                  <c:v>29805</c:v>
                </c:pt>
                <c:pt idx="2">
                  <c:v>40512</c:v>
                </c:pt>
                <c:pt idx="3">
                  <c:v>38794</c:v>
                </c:pt>
                <c:pt idx="4">
                  <c:v>23108</c:v>
                </c:pt>
                <c:pt idx="5">
                  <c:v>34552</c:v>
                </c:pt>
                <c:pt idx="6">
                  <c:v>65806</c:v>
                </c:pt>
                <c:pt idx="7">
                  <c:v>60651</c:v>
                </c:pt>
                <c:pt idx="8">
                  <c:v>56749</c:v>
                </c:pt>
                <c:pt idx="9">
                  <c:v>53258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'Cat3-SubAnalytics'!B42</c:f>
              <c:strCache>
                <c:ptCount val="1"/>
                <c:pt idx="0">
                  <c:v>Coal, coke and briquettes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'Cat3-SubAnalytics'!$C$40:$L$40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'Cat3-SubAnalytics'!$C$42:$L$42</c:f>
              <c:numCache>
                <c:formatCode>#,##0</c:formatCode>
                <c:ptCount val="10"/>
                <c:pt idx="0">
                  <c:v>51</c:v>
                </c:pt>
                <c:pt idx="1">
                  <c:v>139</c:v>
                </c:pt>
                <c:pt idx="2">
                  <c:v>178</c:v>
                </c:pt>
                <c:pt idx="3">
                  <c:v>203</c:v>
                </c:pt>
                <c:pt idx="4">
                  <c:v>148</c:v>
                </c:pt>
                <c:pt idx="5">
                  <c:v>200</c:v>
                </c:pt>
                <c:pt idx="6">
                  <c:v>375</c:v>
                </c:pt>
                <c:pt idx="7">
                  <c:v>306</c:v>
                </c:pt>
                <c:pt idx="8">
                  <c:v>260</c:v>
                </c:pt>
                <c:pt idx="9">
                  <c:v>197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'Cat3-SubAnalytics'!B43</c:f>
              <c:strCache>
                <c:ptCount val="1"/>
                <c:pt idx="0">
                  <c:v>Petroleum, petroleum products and related materials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'Cat3-SubAnalytics'!$C$40:$L$40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'Cat3-SubAnalytics'!$C$43:$L$43</c:f>
              <c:numCache>
                <c:formatCode>#,##0</c:formatCode>
                <c:ptCount val="10"/>
                <c:pt idx="0">
                  <c:v>23315</c:v>
                </c:pt>
                <c:pt idx="1">
                  <c:v>29365</c:v>
                </c:pt>
                <c:pt idx="2">
                  <c:v>39947</c:v>
                </c:pt>
                <c:pt idx="3">
                  <c:v>38357</c:v>
                </c:pt>
                <c:pt idx="4">
                  <c:v>22720</c:v>
                </c:pt>
                <c:pt idx="5">
                  <c:v>34044</c:v>
                </c:pt>
                <c:pt idx="6">
                  <c:v>65082</c:v>
                </c:pt>
                <c:pt idx="7">
                  <c:v>60057</c:v>
                </c:pt>
                <c:pt idx="8">
                  <c:v>56183</c:v>
                </c:pt>
                <c:pt idx="9">
                  <c:v>52742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'Cat3-SubAnalytics'!B44</c:f>
              <c:strCache>
                <c:ptCount val="1"/>
                <c:pt idx="0">
                  <c:v>Gas, natural and manufactured</c:v>
                </c:pt>
              </c:strCache>
            </c:strRef>
          </c:tx>
          <c:spPr>
            <a:solidFill>
              <a:srgbClr val="7d5fa0"/>
            </a:solidFill>
            <a:ln w="1260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'Cat3-SubAnalytics'!$C$40:$L$40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'Cat3-SubAnalytics'!$C$44:$L$44</c:f>
              <c:numCache>
                <c:formatCode>#,##0</c:formatCode>
                <c:ptCount val="10"/>
                <c:pt idx="0">
                  <c:v>238</c:v>
                </c:pt>
                <c:pt idx="1">
                  <c:v>303</c:v>
                </c:pt>
                <c:pt idx="2">
                  <c:v>390</c:v>
                </c:pt>
                <c:pt idx="3">
                  <c:v>236</c:v>
                </c:pt>
                <c:pt idx="4">
                  <c:v>242</c:v>
                </c:pt>
                <c:pt idx="5">
                  <c:v>310</c:v>
                </c:pt>
                <c:pt idx="6">
                  <c:v>352</c:v>
                </c:pt>
                <c:pt idx="7">
                  <c:v>293</c:v>
                </c:pt>
                <c:pt idx="8">
                  <c:v>306</c:v>
                </c:pt>
                <c:pt idx="9">
                  <c:v>317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2466498"/>
        <c:axId val="86634664"/>
      </c:lineChart>
      <c:catAx>
        <c:axId val="4246649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634664"/>
        <c:crosses val="autoZero"/>
        <c:auto val="1"/>
        <c:lblAlgn val="ctr"/>
        <c:lblOffset val="100"/>
        <c:noMultiLvlLbl val="0"/>
      </c:catAx>
      <c:valAx>
        <c:axId val="866346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$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246649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Subcategory share of main category 3, export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'Cat3-SubAnalytics'!B13</c:f>
              <c:strCache>
                <c:ptCount val="1"/>
                <c:pt idx="0">
                  <c:v>Mineral fuels, lubricants and related materials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'Cat3-SubAnalytics'!$C$12:$L$12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'Cat3-SubAnalytics'!$C$13:$L$13</c:f>
              <c:numCache>
                <c:formatCode>0.0%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'Cat3-SubAnalytics'!B14</c:f>
              <c:strCache>
                <c:ptCount val="1"/>
                <c:pt idx="0">
                  <c:v>Coal, coke and briquettes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'Cat3-SubAnalytics'!$C$12:$L$12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'Cat3-SubAnalytics'!$C$14:$L$14</c:f>
              <c:numCache>
                <c:formatCode>0.0%</c:formatCode>
                <c:ptCount val="10"/>
                <c:pt idx="0">
                  <c:v>0.624398097545124</c:v>
                </c:pt>
                <c:pt idx="1">
                  <c:v>0.626808851441047</c:v>
                </c:pt>
                <c:pt idx="2">
                  <c:v>0.546728933744449</c:v>
                </c:pt>
                <c:pt idx="3">
                  <c:v>0.506310971747118</c:v>
                </c:pt>
                <c:pt idx="4">
                  <c:v>0.488251652199367</c:v>
                </c:pt>
                <c:pt idx="5">
                  <c:v>0.50242493769532</c:v>
                </c:pt>
                <c:pt idx="6">
                  <c:v>0.566357914169989</c:v>
                </c:pt>
                <c:pt idx="7">
                  <c:v>0.528414872998584</c:v>
                </c:pt>
                <c:pt idx="8">
                  <c:v>0.500140480678053</c:v>
                </c:pt>
                <c:pt idx="9">
                  <c:v>0.4599624770832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'Cat3-SubAnalytics'!B15</c:f>
              <c:strCache>
                <c:ptCount val="1"/>
                <c:pt idx="0">
                  <c:v>Petroleum, petroleum products and related materials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'Cat3-SubAnalytics'!$C$12:$L$12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'Cat3-SubAnalytics'!$C$15:$L$15</c:f>
              <c:numCache>
                <c:formatCode>0.0%</c:formatCode>
                <c:ptCount val="10"/>
                <c:pt idx="0">
                  <c:v>0.10259667365809</c:v>
                </c:pt>
                <c:pt idx="1">
                  <c:v>0.0840601652239739</c:v>
                </c:pt>
                <c:pt idx="2">
                  <c:v>0.0915276971268269</c:v>
                </c:pt>
                <c:pt idx="3">
                  <c:v>0.0967946281515267</c:v>
                </c:pt>
                <c:pt idx="4">
                  <c:v>0.0873104333434661</c:v>
                </c:pt>
                <c:pt idx="5">
                  <c:v>0.0926856283871989</c:v>
                </c:pt>
                <c:pt idx="6">
                  <c:v>0.0689958382073257</c:v>
                </c:pt>
                <c:pt idx="7">
                  <c:v>0.0805936108085441</c:v>
                </c:pt>
                <c:pt idx="8">
                  <c:v>0.0919738705938821</c:v>
                </c:pt>
                <c:pt idx="9">
                  <c:v>0.10120487084555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'Cat3-SubAnalytics'!B16</c:f>
              <c:strCache>
                <c:ptCount val="1"/>
                <c:pt idx="0">
                  <c:v>Gas, natural and manufactured</c:v>
                </c:pt>
              </c:strCache>
            </c:strRef>
          </c:tx>
          <c:spPr>
            <a:solidFill>
              <a:srgbClr val="7d5fa0"/>
            </a:solidFill>
            <a:ln w="1260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'Cat3-SubAnalytics'!$C$12:$L$12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'Cat3-SubAnalytics'!$C$16:$L$16</c:f>
              <c:numCache>
                <c:formatCode>0.0%</c:formatCode>
                <c:ptCount val="10"/>
                <c:pt idx="0">
                  <c:v>0.272960916959617</c:v>
                </c:pt>
                <c:pt idx="1">
                  <c:v>0.289141954382385</c:v>
                </c:pt>
                <c:pt idx="2">
                  <c:v>0.36173519044075</c:v>
                </c:pt>
                <c:pt idx="3">
                  <c:v>0.396902318510072</c:v>
                </c:pt>
                <c:pt idx="4">
                  <c:v>0.424437914457167</c:v>
                </c:pt>
                <c:pt idx="5">
                  <c:v>0.404913169033585</c:v>
                </c:pt>
                <c:pt idx="6">
                  <c:v>0.364646247622685</c:v>
                </c:pt>
                <c:pt idx="7">
                  <c:v>0.390981288577288</c:v>
                </c:pt>
                <c:pt idx="8">
                  <c:v>0.407873942004893</c:v>
                </c:pt>
                <c:pt idx="9">
                  <c:v>0.438811251168133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7704514"/>
        <c:axId val="18435248"/>
      </c:lineChart>
      <c:catAx>
        <c:axId val="677045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435248"/>
        <c:crosses val="autoZero"/>
        <c:auto val="1"/>
        <c:lblAlgn val="ctr"/>
        <c:lblOffset val="100"/>
        <c:noMultiLvlLbl val="0"/>
      </c:catAx>
      <c:valAx>
        <c:axId val="184352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Share of main category 3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770451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Subcategory share of main category 3, import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'Cat3-SubAnalytics'!B48</c:f>
              <c:strCache>
                <c:ptCount val="1"/>
                <c:pt idx="0">
                  <c:v>Mineral fuels, lubricants and related materials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'Cat3-SubAnalytics'!$C$47:$L$47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'Cat3-SubAnalytics'!$C$48:$L$48</c:f>
              <c:numCache>
                <c:formatCode>0.0%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'Cat3-SubAnalytics'!B49</c:f>
              <c:strCache>
                <c:ptCount val="1"/>
                <c:pt idx="0">
                  <c:v>Coal, coke and briquettes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'Cat3-SubAnalytics'!$C$47:$L$47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'Cat3-SubAnalytics'!$C$49:$L$49</c:f>
              <c:numCache>
                <c:formatCode>0.0%</c:formatCode>
                <c:ptCount val="10"/>
                <c:pt idx="0">
                  <c:v>0.00216065073716319</c:v>
                </c:pt>
                <c:pt idx="1">
                  <c:v>0.0046636470390874</c:v>
                </c:pt>
                <c:pt idx="2">
                  <c:v>0.00439375987361769</c:v>
                </c:pt>
                <c:pt idx="3">
                  <c:v>0.00523276795380729</c:v>
                </c:pt>
                <c:pt idx="4">
                  <c:v>0.00640470832612082</c:v>
                </c:pt>
                <c:pt idx="5">
                  <c:v>0.00578837693910628</c:v>
                </c:pt>
                <c:pt idx="6">
                  <c:v>0.00569856851958788</c:v>
                </c:pt>
                <c:pt idx="7">
                  <c:v>0.00504525894049562</c:v>
                </c:pt>
                <c:pt idx="8">
                  <c:v>0.00458157853001815</c:v>
                </c:pt>
                <c:pt idx="9">
                  <c:v>0.00369897480190769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'Cat3-SubAnalytics'!B50</c:f>
              <c:strCache>
                <c:ptCount val="1"/>
                <c:pt idx="0">
                  <c:v>Petroleum, petroleum products and related materials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'Cat3-SubAnalytics'!$C$47:$L$47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'Cat3-SubAnalytics'!$C$50:$L$50</c:f>
              <c:numCache>
                <c:formatCode>0.0%</c:formatCode>
                <c:ptCount val="10"/>
                <c:pt idx="0">
                  <c:v>0.987756312489409</c:v>
                </c:pt>
                <c:pt idx="1">
                  <c:v>0.985237376279148</c:v>
                </c:pt>
                <c:pt idx="2">
                  <c:v>0.986053515007899</c:v>
                </c:pt>
                <c:pt idx="3">
                  <c:v>0.988735371449193</c:v>
                </c:pt>
                <c:pt idx="4">
                  <c:v>0.983209278172062</c:v>
                </c:pt>
                <c:pt idx="5">
                  <c:v>0.98529752257467</c:v>
                </c:pt>
                <c:pt idx="6">
                  <c:v>0.988997963711516</c:v>
                </c:pt>
                <c:pt idx="7">
                  <c:v>0.990206262056685</c:v>
                </c:pt>
                <c:pt idx="8">
                  <c:v>0.990026255969268</c:v>
                </c:pt>
                <c:pt idx="9">
                  <c:v>0.990311314732059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'Cat3-SubAnalytics'!B51</c:f>
              <c:strCache>
                <c:ptCount val="1"/>
                <c:pt idx="0">
                  <c:v>Gas, natural and manufactured</c:v>
                </c:pt>
              </c:strCache>
            </c:strRef>
          </c:tx>
          <c:spPr>
            <a:solidFill>
              <a:srgbClr val="7d5fa0"/>
            </a:solidFill>
            <a:ln w="1260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'Cat3-SubAnalytics'!$C$47:$L$47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'Cat3-SubAnalytics'!$C$51:$L$51</c:f>
              <c:numCache>
                <c:formatCode>0.0%</c:formatCode>
                <c:ptCount val="10"/>
                <c:pt idx="0">
                  <c:v>0.0100830367734282</c:v>
                </c:pt>
                <c:pt idx="1">
                  <c:v>0.0101660795168596</c:v>
                </c:pt>
                <c:pt idx="2">
                  <c:v>0.00962677725118484</c:v>
                </c:pt>
                <c:pt idx="3">
                  <c:v>0.00608341496107646</c:v>
                </c:pt>
                <c:pt idx="4">
                  <c:v>0.0104725636143327</c:v>
                </c:pt>
                <c:pt idx="5">
                  <c:v>0.00897198425561473</c:v>
                </c:pt>
                <c:pt idx="6">
                  <c:v>0.00534905631705316</c:v>
                </c:pt>
                <c:pt idx="7">
                  <c:v>0.00483091787439614</c:v>
                </c:pt>
                <c:pt idx="8">
                  <c:v>0.00539216550071367</c:v>
                </c:pt>
                <c:pt idx="9">
                  <c:v>0.00595215742235908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0230210"/>
        <c:axId val="21387323"/>
      </c:lineChart>
      <c:catAx>
        <c:axId val="302302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1387323"/>
        <c:crosses val="autoZero"/>
        <c:auto val="1"/>
        <c:lblAlgn val="ctr"/>
        <c:lblOffset val="100"/>
        <c:noMultiLvlLbl val="0"/>
      </c:catAx>
      <c:valAx>
        <c:axId val="213873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Share of main category 3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023021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Subcategory 33 petroleum, export against import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'Pet33-Focus'!B4</c:f>
              <c:strCache>
                <c:ptCount val="1"/>
                <c:pt idx="0">
                  <c:v>Export ($ Millions)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'Pet33-Focus'!$A$5:$A$14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'Pet33-Focus'!$B$5:$B$14</c:f>
              <c:numCache>
                <c:formatCode>#,##0</c:formatCode>
                <c:ptCount val="10"/>
                <c:pt idx="0">
                  <c:v>6946</c:v>
                </c:pt>
                <c:pt idx="1">
                  <c:v>7662</c:v>
                </c:pt>
                <c:pt idx="2">
                  <c:v>11191</c:v>
                </c:pt>
                <c:pt idx="3">
                  <c:v>12224</c:v>
                </c:pt>
                <c:pt idx="4">
                  <c:v>7755</c:v>
                </c:pt>
                <c:pt idx="5">
                  <c:v>11715</c:v>
                </c:pt>
                <c:pt idx="6">
                  <c:v>17341</c:v>
                </c:pt>
                <c:pt idx="7">
                  <c:v>15760</c:v>
                </c:pt>
                <c:pt idx="8">
                  <c:v>15713</c:v>
                </c:pt>
                <c:pt idx="9">
                  <c:v>14187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'Pet33-Focus'!C4</c:f>
              <c:strCache>
                <c:ptCount val="1"/>
                <c:pt idx="0">
                  <c:v>Import ($ Millions)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'Pet33-Focus'!$A$5:$A$14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'Pet33-Focus'!$C$5:$C$14</c:f>
              <c:numCache>
                <c:formatCode>#,##0</c:formatCode>
                <c:ptCount val="10"/>
                <c:pt idx="0">
                  <c:v>23315</c:v>
                </c:pt>
                <c:pt idx="1">
                  <c:v>29365</c:v>
                </c:pt>
                <c:pt idx="2">
                  <c:v>39947</c:v>
                </c:pt>
                <c:pt idx="3">
                  <c:v>38357</c:v>
                </c:pt>
                <c:pt idx="4">
                  <c:v>22720</c:v>
                </c:pt>
                <c:pt idx="5">
                  <c:v>34044</c:v>
                </c:pt>
                <c:pt idx="6">
                  <c:v>65082</c:v>
                </c:pt>
                <c:pt idx="7">
                  <c:v>60057</c:v>
                </c:pt>
                <c:pt idx="8">
                  <c:v>56183</c:v>
                </c:pt>
                <c:pt idx="9">
                  <c:v>52742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818363"/>
        <c:axId val="33993930"/>
      </c:lineChart>
      <c:catAx>
        <c:axId val="58183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993930"/>
        <c:crosses val="autoZero"/>
        <c:auto val="1"/>
        <c:lblAlgn val="ctr"/>
        <c:lblOffset val="100"/>
        <c:noMultiLvlLbl val="0"/>
      </c:catAx>
      <c:valAx>
        <c:axId val="339939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$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81836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Subcategory 33 petroleum, trade balance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'Pet33-Focus'!D4</c:f>
              <c:strCache>
                <c:ptCount val="1"/>
                <c:pt idx="0">
                  <c:v>Balance ($ Millions)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'Pet33-Focus'!$A$5:$A$14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'Pet33-Focus'!$D$5:$D$14</c:f>
              <c:numCache>
                <c:formatCode>#,##0</c:formatCode>
                <c:ptCount val="10"/>
                <c:pt idx="0">
                  <c:v>-16369</c:v>
                </c:pt>
                <c:pt idx="1">
                  <c:v>-21703</c:v>
                </c:pt>
                <c:pt idx="2">
                  <c:v>-28756</c:v>
                </c:pt>
                <c:pt idx="3">
                  <c:v>-26133</c:v>
                </c:pt>
                <c:pt idx="4">
                  <c:v>-14965</c:v>
                </c:pt>
                <c:pt idx="5">
                  <c:v>-22329</c:v>
                </c:pt>
                <c:pt idx="6">
                  <c:v>-47741</c:v>
                </c:pt>
                <c:pt idx="7">
                  <c:v>-44297</c:v>
                </c:pt>
                <c:pt idx="8">
                  <c:v>-40470</c:v>
                </c:pt>
                <c:pt idx="9">
                  <c:v>-38555</c:v>
                </c:pt>
              </c:numCache>
            </c:numRef>
          </c:val>
        </c:ser>
        <c:gapWidth val="150"/>
        <c:overlap val="0"/>
        <c:axId val="40231665"/>
        <c:axId val="80082947"/>
      </c:barChart>
      <c:catAx>
        <c:axId val="402316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082947"/>
        <c:crosses val="autoZero"/>
        <c:auto val="1"/>
        <c:lblAlgn val="ctr"/>
        <c:lblOffset val="100"/>
        <c:noMultiLvlLbl val="0"/>
      </c:catAx>
      <c:valAx>
        <c:axId val="800829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$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023166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Petroleum against coal and gas, export index 2016 = 100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'Pet33-vs-Sub'!B6</c:f>
              <c:strCache>
                <c:ptCount val="1"/>
                <c:pt idx="0">
                  <c:v>Coal, coke and briquettes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'Pet33-vs-Sub'!$C$5:$L$5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'Pet33-vs-Sub'!$C$6:$L$6</c:f>
              <c:numCache>
                <c:formatCode>#,##0.0</c:formatCode>
                <c:ptCount val="10"/>
                <c:pt idx="0">
                  <c:v>100</c:v>
                </c:pt>
                <c:pt idx="1">
                  <c:v>135.15246138197</c:v>
                </c:pt>
                <c:pt idx="2">
                  <c:v>158.13403354387</c:v>
                </c:pt>
                <c:pt idx="3">
                  <c:v>151.25730371632</c:v>
                </c:pt>
                <c:pt idx="4">
                  <c:v>102.587940292858</c:v>
                </c:pt>
                <c:pt idx="5">
                  <c:v>150.223546944858</c:v>
                </c:pt>
                <c:pt idx="6">
                  <c:v>336.727935088591</c:v>
                </c:pt>
                <c:pt idx="7">
                  <c:v>244.437347716036</c:v>
                </c:pt>
                <c:pt idx="8">
                  <c:v>202.126652946325</c:v>
                </c:pt>
                <c:pt idx="9">
                  <c:v>152.527618101389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'Pet33-vs-Sub'!B7</c:f>
              <c:strCache>
                <c:ptCount val="1"/>
                <c:pt idx="0">
                  <c:v>Petroleum, petroleum products and related materials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'Pet33-vs-Sub'!$C$5:$L$5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'Pet33-vs-Sub'!$C$7:$L$7</c:f>
              <c:numCache>
                <c:formatCode>#,##0.0</c:formatCode>
                <c:ptCount val="10"/>
                <c:pt idx="0">
                  <c:v>100</c:v>
                </c:pt>
                <c:pt idx="1">
                  <c:v>110.308090987619</c:v>
                </c:pt>
                <c:pt idx="2">
                  <c:v>161.114310394472</c:v>
                </c:pt>
                <c:pt idx="3">
                  <c:v>175.986179095883</c:v>
                </c:pt>
                <c:pt idx="4">
                  <c:v>111.646991073999</c:v>
                </c:pt>
                <c:pt idx="5">
                  <c:v>168.658220558595</c:v>
                </c:pt>
                <c:pt idx="6">
                  <c:v>249.654477397063</c:v>
                </c:pt>
                <c:pt idx="7">
                  <c:v>226.893175928592</c:v>
                </c:pt>
                <c:pt idx="8">
                  <c:v>226.216527497841</c:v>
                </c:pt>
                <c:pt idx="9">
                  <c:v>204.2470486611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'Pet33-vs-Sub'!B8</c:f>
              <c:strCache>
                <c:ptCount val="1"/>
                <c:pt idx="0">
                  <c:v>Gas, natural and manufactured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'Pet33-vs-Sub'!$C$5:$L$5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'Pet33-vs-Sub'!$C$8:$L$8</c:f>
              <c:numCache>
                <c:formatCode>#,##0.0</c:formatCode>
                <c:ptCount val="10"/>
                <c:pt idx="0">
                  <c:v>100</c:v>
                </c:pt>
                <c:pt idx="1">
                  <c:v>142.613636363636</c:v>
                </c:pt>
                <c:pt idx="2">
                  <c:v>239.334415584416</c:v>
                </c:pt>
                <c:pt idx="3">
                  <c:v>271.233766233766</c:v>
                </c:pt>
                <c:pt idx="4">
                  <c:v>203.998917748918</c:v>
                </c:pt>
                <c:pt idx="5">
                  <c:v>276.942640692641</c:v>
                </c:pt>
                <c:pt idx="6">
                  <c:v>495.930735930736</c:v>
                </c:pt>
                <c:pt idx="7">
                  <c:v>413.722943722944</c:v>
                </c:pt>
                <c:pt idx="8">
                  <c:v>377.0670995671</c:v>
                </c:pt>
                <c:pt idx="9">
                  <c:v>332.862554112554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9952140"/>
        <c:axId val="21557110"/>
      </c:lineChart>
      <c:catAx>
        <c:axId val="399521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1557110"/>
        <c:crosses val="autoZero"/>
        <c:auto val="1"/>
        <c:lblAlgn val="ctr"/>
        <c:lblOffset val="100"/>
        <c:noMultiLvlLbl val="0"/>
      </c:catAx>
      <c:valAx>
        <c:axId val="215571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Index (2016 = 100)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995214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Petroleum against coal and gas, import index 2016 = 100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'Pet33-vs-Sub'!B18</c:f>
              <c:strCache>
                <c:ptCount val="1"/>
                <c:pt idx="0">
                  <c:v>Coal, coke and briquettes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'Pet33-vs-Sub'!$C$17:$L$17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'Pet33-vs-Sub'!$C$18:$L$18</c:f>
              <c:numCache>
                <c:formatCode>#,##0.0</c:formatCode>
                <c:ptCount val="10"/>
                <c:pt idx="0">
                  <c:v>100</c:v>
                </c:pt>
                <c:pt idx="1">
                  <c:v>272.549019607843</c:v>
                </c:pt>
                <c:pt idx="2">
                  <c:v>349.019607843137</c:v>
                </c:pt>
                <c:pt idx="3">
                  <c:v>398.039215686275</c:v>
                </c:pt>
                <c:pt idx="4">
                  <c:v>290.196078431373</c:v>
                </c:pt>
                <c:pt idx="5">
                  <c:v>392.156862745098</c:v>
                </c:pt>
                <c:pt idx="6">
                  <c:v>735.294117647059</c:v>
                </c:pt>
                <c:pt idx="7">
                  <c:v>600</c:v>
                </c:pt>
                <c:pt idx="8">
                  <c:v>509.803921568627</c:v>
                </c:pt>
                <c:pt idx="9">
                  <c:v>386.274509803922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'Pet33-vs-Sub'!B19</c:f>
              <c:strCache>
                <c:ptCount val="1"/>
                <c:pt idx="0">
                  <c:v>Petroleum, petroleum products and related materials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'Pet33-vs-Sub'!$C$17:$L$17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'Pet33-vs-Sub'!$C$19:$L$19</c:f>
              <c:numCache>
                <c:formatCode>#,##0.0</c:formatCode>
                <c:ptCount val="10"/>
                <c:pt idx="0">
                  <c:v>100</c:v>
                </c:pt>
                <c:pt idx="1">
                  <c:v>125.948959897062</c:v>
                </c:pt>
                <c:pt idx="2">
                  <c:v>171.336049753378</c:v>
                </c:pt>
                <c:pt idx="3">
                  <c:v>164.516405747373</c:v>
                </c:pt>
                <c:pt idx="4">
                  <c:v>97.4479948530989</c:v>
                </c:pt>
                <c:pt idx="5">
                  <c:v>146.01758524555</c:v>
                </c:pt>
                <c:pt idx="6">
                  <c:v>279.142183143899</c:v>
                </c:pt>
                <c:pt idx="7">
                  <c:v>257.589534634356</c:v>
                </c:pt>
                <c:pt idx="8">
                  <c:v>240.973622131675</c:v>
                </c:pt>
                <c:pt idx="9">
                  <c:v>226.214883122453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'Pet33-vs-Sub'!B20</c:f>
              <c:strCache>
                <c:ptCount val="1"/>
                <c:pt idx="0">
                  <c:v>Gas, natural and manufactured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'Pet33-vs-Sub'!$C$17:$L$17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'Pet33-vs-Sub'!$C$20:$L$20</c:f>
              <c:numCache>
                <c:formatCode>#,##0.0</c:formatCode>
                <c:ptCount val="10"/>
                <c:pt idx="0">
                  <c:v>100</c:v>
                </c:pt>
                <c:pt idx="1">
                  <c:v>127.310924369748</c:v>
                </c:pt>
                <c:pt idx="2">
                  <c:v>163.865546218487</c:v>
                </c:pt>
                <c:pt idx="3">
                  <c:v>99.1596638655462</c:v>
                </c:pt>
                <c:pt idx="4">
                  <c:v>101.680672268908</c:v>
                </c:pt>
                <c:pt idx="5">
                  <c:v>130.252100840336</c:v>
                </c:pt>
                <c:pt idx="6">
                  <c:v>147.899159663866</c:v>
                </c:pt>
                <c:pt idx="7">
                  <c:v>123.109243697479</c:v>
                </c:pt>
                <c:pt idx="8">
                  <c:v>128.571428571429</c:v>
                </c:pt>
                <c:pt idx="9">
                  <c:v>133.193277310924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6990628"/>
        <c:axId val="97885528"/>
      </c:lineChart>
      <c:catAx>
        <c:axId val="669906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7885528"/>
        <c:crosses val="autoZero"/>
        <c:auto val="1"/>
        <c:lblAlgn val="ctr"/>
        <c:lblOffset val="100"/>
        <c:noMultiLvlLbl val="0"/>
      </c:catAx>
      <c:valAx>
        <c:axId val="978855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Index (2016 = 100)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99062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Subcategory 33 import, actual, forecast and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'Pet33-Forecast'!B4</c:f>
              <c:strCache>
                <c:ptCount val="1"/>
                <c:pt idx="0">
                  <c:v>Actual import ($ Millions)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'Pet33-Forecast'!$A$5:$A$19</c:f>
              <c:strCache>
                <c:ptCount val="1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</c:strCache>
            </c:strRef>
          </c:cat>
          <c:val>
            <c:numRef>
              <c:f>'Pet33-Forecast'!$B$5:$B$19</c:f>
              <c:numCache>
                <c:formatCode>#,##0</c:formatCode>
                <c:ptCount val="15"/>
                <c:pt idx="0">
                  <c:v>23315</c:v>
                </c:pt>
                <c:pt idx="1">
                  <c:v>29365</c:v>
                </c:pt>
                <c:pt idx="2">
                  <c:v>39947</c:v>
                </c:pt>
                <c:pt idx="3">
                  <c:v>38357</c:v>
                </c:pt>
                <c:pt idx="4">
                  <c:v>22720</c:v>
                </c:pt>
                <c:pt idx="5">
                  <c:v>34044</c:v>
                </c:pt>
                <c:pt idx="6">
                  <c:v>65082</c:v>
                </c:pt>
                <c:pt idx="7">
                  <c:v>60057</c:v>
                </c:pt>
                <c:pt idx="8">
                  <c:v>56183</c:v>
                </c:pt>
                <c:pt idx="9">
                  <c:v>52742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'Pet33-Forecast'!C4</c:f>
              <c:strCache>
                <c:ptCount val="1"/>
                <c:pt idx="0">
                  <c:v>Linear trend forecast ($ Millions)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'Pet33-Forecast'!$A$5:$A$19</c:f>
              <c:strCache>
                <c:ptCount val="1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</c:strCache>
            </c:strRef>
          </c:cat>
          <c:val>
            <c:numRef>
              <c:f>'Pet33-Forecast'!$C$5:$C$19</c:f>
              <c:numCache>
                <c:formatCode>#,##0</c:formatCode>
                <c:ptCount val="15"/>
                <c:pt idx="10">
                  <c:v>63668.4666666667</c:v>
                </c:pt>
                <c:pt idx="11">
                  <c:v>67575.2424242424</c:v>
                </c:pt>
                <c:pt idx="12">
                  <c:v>71482.0181818182</c:v>
                </c:pt>
                <c:pt idx="13">
                  <c:v>75388.793939394</c:v>
                </c:pt>
                <c:pt idx="14">
                  <c:v>79295.5696969697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'Pet33-Forecast'!D4</c:f>
              <c:strCache>
                <c:ptCount val="1"/>
                <c:pt idx="0">
                  <c:v>CAGR forecast ($ Millions)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'Pet33-Forecast'!$A$5:$A$19</c:f>
              <c:strCache>
                <c:ptCount val="1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</c:strCache>
            </c:strRef>
          </c:cat>
          <c:val>
            <c:numRef>
              <c:f>'Pet33-Forecast'!$D$5:$D$19</c:f>
              <c:numCache>
                <c:formatCode>#,##0</c:formatCode>
                <c:ptCount val="15"/>
                <c:pt idx="10">
                  <c:v>57749.4478227621</c:v>
                </c:pt>
                <c:pt idx="11">
                  <c:v>63232.3143573229</c:v>
                </c:pt>
                <c:pt idx="12">
                  <c:v>69235.7369589836</c:v>
                </c:pt>
                <c:pt idx="13">
                  <c:v>75809.1384282604</c:v>
                </c:pt>
                <c:pt idx="14">
                  <c:v>83006.6338809938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'Pet33-Forecast'!E4</c:f>
              <c:strCache>
                <c:ptCount val="1"/>
                <c:pt idx="0">
                  <c:v>Target path ($ Millions)</c:v>
                </c:pt>
              </c:strCache>
            </c:strRef>
          </c:tx>
          <c:spPr>
            <a:solidFill>
              <a:srgbClr val="7d5fa0"/>
            </a:solidFill>
            <a:ln w="1260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'Pet33-Forecast'!$A$5:$A$19</c:f>
              <c:strCache>
                <c:ptCount val="1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</c:strCache>
            </c:strRef>
          </c:cat>
          <c:val>
            <c:numRef>
              <c:f>'Pet33-Forecast'!$E$5:$E$19</c:f>
              <c:numCache>
                <c:formatCode>#,##0</c:formatCode>
                <c:ptCount val="15"/>
                <c:pt idx="10">
                  <c:v>51159.74</c:v>
                </c:pt>
                <c:pt idx="11">
                  <c:v>49624.9478</c:v>
                </c:pt>
                <c:pt idx="12">
                  <c:v>48136.199366</c:v>
                </c:pt>
                <c:pt idx="13">
                  <c:v>46692.11338502</c:v>
                </c:pt>
                <c:pt idx="14">
                  <c:v>45291.3499834694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2534961"/>
        <c:axId val="88946854"/>
      </c:lineChart>
      <c:catAx>
        <c:axId val="925349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8946854"/>
        <c:crosses val="autoZero"/>
        <c:auto val="1"/>
        <c:lblAlgn val="ctr"/>
        <c:lblOffset val="100"/>
        <c:noMultiLvlLbl val="0"/>
      </c:catAx>
      <c:valAx>
        <c:axId val="889468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$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53496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<Relationship Id="rId4" Type="http://schemas.openxmlformats.org/officeDocument/2006/relationships/chart" Target="../charts/chart14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Relationship Id="rId3" Type="http://schemas.openxmlformats.org/officeDocument/2006/relationships/chart" Target="../charts/chart17.xml"/><Relationship Id="rId4" Type="http://schemas.openxmlformats.org/officeDocument/2006/relationships/chart" Target="../charts/chart18.xml"/><Relationship Id="rId5" Type="http://schemas.openxmlformats.org/officeDocument/2006/relationships/chart" Target="../charts/chart1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12</xdr:col>
      <xdr:colOff>253800</xdr:colOff>
      <xdr:row>20</xdr:row>
      <xdr:rowOff>149760</xdr:rowOff>
    </xdr:to>
    <xdr:graphicFrame>
      <xdr:nvGraphicFramePr>
        <xdr:cNvPr id="1" name="Chart 1"/>
        <xdr:cNvGraphicFramePr/>
      </xdr:nvGraphicFramePr>
      <xdr:xfrm>
        <a:off x="0" y="0"/>
        <a:ext cx="93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23</xdr:row>
      <xdr:rowOff>0</xdr:rowOff>
    </xdr:from>
    <xdr:to>
      <xdr:col>12</xdr:col>
      <xdr:colOff>253800</xdr:colOff>
      <xdr:row>43</xdr:row>
      <xdr:rowOff>149760</xdr:rowOff>
    </xdr:to>
    <xdr:graphicFrame>
      <xdr:nvGraphicFramePr>
        <xdr:cNvPr id="2" name="Chart 2"/>
        <xdr:cNvGraphicFramePr/>
      </xdr:nvGraphicFramePr>
      <xdr:xfrm>
        <a:off x="0" y="4381560"/>
        <a:ext cx="93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12</xdr:col>
      <xdr:colOff>253800</xdr:colOff>
      <xdr:row>20</xdr:row>
      <xdr:rowOff>149760</xdr:rowOff>
    </xdr:to>
    <xdr:graphicFrame>
      <xdr:nvGraphicFramePr>
        <xdr:cNvPr id="3" name="Chart 1"/>
        <xdr:cNvGraphicFramePr/>
      </xdr:nvGraphicFramePr>
      <xdr:xfrm>
        <a:off x="0" y="0"/>
        <a:ext cx="93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23</xdr:row>
      <xdr:rowOff>0</xdr:rowOff>
    </xdr:from>
    <xdr:to>
      <xdr:col>12</xdr:col>
      <xdr:colOff>253800</xdr:colOff>
      <xdr:row>43</xdr:row>
      <xdr:rowOff>149760</xdr:rowOff>
    </xdr:to>
    <xdr:graphicFrame>
      <xdr:nvGraphicFramePr>
        <xdr:cNvPr id="4" name="Chart 2"/>
        <xdr:cNvGraphicFramePr/>
      </xdr:nvGraphicFramePr>
      <xdr:xfrm>
        <a:off x="0" y="4381560"/>
        <a:ext cx="93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12</xdr:col>
      <xdr:colOff>253800</xdr:colOff>
      <xdr:row>20</xdr:row>
      <xdr:rowOff>149760</xdr:rowOff>
    </xdr:to>
    <xdr:graphicFrame>
      <xdr:nvGraphicFramePr>
        <xdr:cNvPr id="5" name="Chart 1"/>
        <xdr:cNvGraphicFramePr/>
      </xdr:nvGraphicFramePr>
      <xdr:xfrm>
        <a:off x="0" y="0"/>
        <a:ext cx="93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23</xdr:row>
      <xdr:rowOff>0</xdr:rowOff>
    </xdr:from>
    <xdr:to>
      <xdr:col>12</xdr:col>
      <xdr:colOff>253800</xdr:colOff>
      <xdr:row>43</xdr:row>
      <xdr:rowOff>149760</xdr:rowOff>
    </xdr:to>
    <xdr:graphicFrame>
      <xdr:nvGraphicFramePr>
        <xdr:cNvPr id="6" name="Chart 2"/>
        <xdr:cNvGraphicFramePr/>
      </xdr:nvGraphicFramePr>
      <xdr:xfrm>
        <a:off x="0" y="4381560"/>
        <a:ext cx="93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12</xdr:col>
      <xdr:colOff>253800</xdr:colOff>
      <xdr:row>20</xdr:row>
      <xdr:rowOff>149760</xdr:rowOff>
    </xdr:to>
    <xdr:graphicFrame>
      <xdr:nvGraphicFramePr>
        <xdr:cNvPr id="7" name="Chart 1"/>
        <xdr:cNvGraphicFramePr/>
      </xdr:nvGraphicFramePr>
      <xdr:xfrm>
        <a:off x="0" y="0"/>
        <a:ext cx="93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23</xdr:row>
      <xdr:rowOff>0</xdr:rowOff>
    </xdr:from>
    <xdr:to>
      <xdr:col>12</xdr:col>
      <xdr:colOff>253800</xdr:colOff>
      <xdr:row>43</xdr:row>
      <xdr:rowOff>149760</xdr:rowOff>
    </xdr:to>
    <xdr:graphicFrame>
      <xdr:nvGraphicFramePr>
        <xdr:cNvPr id="8" name="Chart 2"/>
        <xdr:cNvGraphicFramePr/>
      </xdr:nvGraphicFramePr>
      <xdr:xfrm>
        <a:off x="0" y="4381560"/>
        <a:ext cx="93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12</xdr:col>
      <xdr:colOff>253800</xdr:colOff>
      <xdr:row>20</xdr:row>
      <xdr:rowOff>149760</xdr:rowOff>
    </xdr:to>
    <xdr:graphicFrame>
      <xdr:nvGraphicFramePr>
        <xdr:cNvPr id="9" name="Chart 1"/>
        <xdr:cNvGraphicFramePr/>
      </xdr:nvGraphicFramePr>
      <xdr:xfrm>
        <a:off x="0" y="0"/>
        <a:ext cx="93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23</xdr:row>
      <xdr:rowOff>0</xdr:rowOff>
    </xdr:from>
    <xdr:to>
      <xdr:col>12</xdr:col>
      <xdr:colOff>253800</xdr:colOff>
      <xdr:row>43</xdr:row>
      <xdr:rowOff>149760</xdr:rowOff>
    </xdr:to>
    <xdr:graphicFrame>
      <xdr:nvGraphicFramePr>
        <xdr:cNvPr id="10" name="Chart 2"/>
        <xdr:cNvGraphicFramePr/>
      </xdr:nvGraphicFramePr>
      <xdr:xfrm>
        <a:off x="0" y="4381560"/>
        <a:ext cx="93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12</xdr:col>
      <xdr:colOff>253800</xdr:colOff>
      <xdr:row>20</xdr:row>
      <xdr:rowOff>149760</xdr:rowOff>
    </xdr:to>
    <xdr:graphicFrame>
      <xdr:nvGraphicFramePr>
        <xdr:cNvPr id="11" name="Chart 1"/>
        <xdr:cNvGraphicFramePr/>
      </xdr:nvGraphicFramePr>
      <xdr:xfrm>
        <a:off x="0" y="0"/>
        <a:ext cx="93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23</xdr:row>
      <xdr:rowOff>0</xdr:rowOff>
    </xdr:from>
    <xdr:to>
      <xdr:col>12</xdr:col>
      <xdr:colOff>253800</xdr:colOff>
      <xdr:row>43</xdr:row>
      <xdr:rowOff>149760</xdr:rowOff>
    </xdr:to>
    <xdr:graphicFrame>
      <xdr:nvGraphicFramePr>
        <xdr:cNvPr id="12" name="Chart 2"/>
        <xdr:cNvGraphicFramePr/>
      </xdr:nvGraphicFramePr>
      <xdr:xfrm>
        <a:off x="0" y="4381560"/>
        <a:ext cx="93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46</xdr:row>
      <xdr:rowOff>0</xdr:rowOff>
    </xdr:from>
    <xdr:to>
      <xdr:col>12</xdr:col>
      <xdr:colOff>253800</xdr:colOff>
      <xdr:row>66</xdr:row>
      <xdr:rowOff>149760</xdr:rowOff>
    </xdr:to>
    <xdr:graphicFrame>
      <xdr:nvGraphicFramePr>
        <xdr:cNvPr id="13" name="Chart 3"/>
        <xdr:cNvGraphicFramePr/>
      </xdr:nvGraphicFramePr>
      <xdr:xfrm>
        <a:off x="0" y="8763120"/>
        <a:ext cx="93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69</xdr:row>
      <xdr:rowOff>0</xdr:rowOff>
    </xdr:from>
    <xdr:to>
      <xdr:col>12</xdr:col>
      <xdr:colOff>253800</xdr:colOff>
      <xdr:row>89</xdr:row>
      <xdr:rowOff>149760</xdr:rowOff>
    </xdr:to>
    <xdr:graphicFrame>
      <xdr:nvGraphicFramePr>
        <xdr:cNvPr id="14" name="Chart 4"/>
        <xdr:cNvGraphicFramePr/>
      </xdr:nvGraphicFramePr>
      <xdr:xfrm>
        <a:off x="0" y="13144680"/>
        <a:ext cx="93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12</xdr:col>
      <xdr:colOff>253800</xdr:colOff>
      <xdr:row>20</xdr:row>
      <xdr:rowOff>149760</xdr:rowOff>
    </xdr:to>
    <xdr:graphicFrame>
      <xdr:nvGraphicFramePr>
        <xdr:cNvPr id="15" name="Chart 1"/>
        <xdr:cNvGraphicFramePr/>
      </xdr:nvGraphicFramePr>
      <xdr:xfrm>
        <a:off x="0" y="0"/>
        <a:ext cx="93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23</xdr:row>
      <xdr:rowOff>0</xdr:rowOff>
    </xdr:from>
    <xdr:to>
      <xdr:col>12</xdr:col>
      <xdr:colOff>253800</xdr:colOff>
      <xdr:row>43</xdr:row>
      <xdr:rowOff>149760</xdr:rowOff>
    </xdr:to>
    <xdr:graphicFrame>
      <xdr:nvGraphicFramePr>
        <xdr:cNvPr id="16" name="Chart 2"/>
        <xdr:cNvGraphicFramePr/>
      </xdr:nvGraphicFramePr>
      <xdr:xfrm>
        <a:off x="0" y="4381560"/>
        <a:ext cx="93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46</xdr:row>
      <xdr:rowOff>0</xdr:rowOff>
    </xdr:from>
    <xdr:to>
      <xdr:col>12</xdr:col>
      <xdr:colOff>253800</xdr:colOff>
      <xdr:row>66</xdr:row>
      <xdr:rowOff>149760</xdr:rowOff>
    </xdr:to>
    <xdr:graphicFrame>
      <xdr:nvGraphicFramePr>
        <xdr:cNvPr id="17" name="Chart 3"/>
        <xdr:cNvGraphicFramePr/>
      </xdr:nvGraphicFramePr>
      <xdr:xfrm>
        <a:off x="0" y="8763120"/>
        <a:ext cx="93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69</xdr:row>
      <xdr:rowOff>0</xdr:rowOff>
    </xdr:from>
    <xdr:to>
      <xdr:col>12</xdr:col>
      <xdr:colOff>253800</xdr:colOff>
      <xdr:row>89</xdr:row>
      <xdr:rowOff>149760</xdr:rowOff>
    </xdr:to>
    <xdr:graphicFrame>
      <xdr:nvGraphicFramePr>
        <xdr:cNvPr id="18" name="Chart 4"/>
        <xdr:cNvGraphicFramePr/>
      </xdr:nvGraphicFramePr>
      <xdr:xfrm>
        <a:off x="0" y="13144680"/>
        <a:ext cx="93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92</xdr:row>
      <xdr:rowOff>0</xdr:rowOff>
    </xdr:from>
    <xdr:to>
      <xdr:col>12</xdr:col>
      <xdr:colOff>253800</xdr:colOff>
      <xdr:row>112</xdr:row>
      <xdr:rowOff>149400</xdr:rowOff>
    </xdr:to>
    <xdr:graphicFrame>
      <xdr:nvGraphicFramePr>
        <xdr:cNvPr id="19" name="Chart 5"/>
        <xdr:cNvGraphicFramePr/>
      </xdr:nvGraphicFramePr>
      <xdr:xfrm>
        <a:off x="0" y="17525880"/>
        <a:ext cx="93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6.15" hidden="false" customHeight="false" outlineLevel="0" collapsed="false">
      <c r="A4" s="2" t="s">
        <v>2</v>
      </c>
    </row>
    <row r="5" customFormat="false" ht="15" hidden="false" customHeight="false" outlineLevel="0" collapsed="false">
      <c r="A5" s="0" t="s">
        <v>3</v>
      </c>
    </row>
    <row r="6" customFormat="false" ht="15" hidden="false" customHeight="false" outlineLevel="0" collapsed="false">
      <c r="A6" s="0" t="s">
        <v>4</v>
      </c>
    </row>
    <row r="7" customFormat="false" ht="15" hidden="false" customHeight="false" outlineLevel="0" collapsed="false">
      <c r="A7" s="0" t="s">
        <v>5</v>
      </c>
    </row>
    <row r="8" customFormat="false" ht="15" hidden="false" customHeight="false" outlineLevel="0" collapsed="false">
      <c r="A8" s="0" t="s">
        <v>6</v>
      </c>
    </row>
    <row r="9" customFormat="false" ht="15" hidden="false" customHeight="false" outlineLevel="0" collapsed="false">
      <c r="A9" s="0" t="s">
        <v>7</v>
      </c>
    </row>
    <row r="10" customFormat="false" ht="15" hidden="false" customHeight="false" outlineLevel="0" collapsed="false">
      <c r="A10" s="0" t="s">
        <v>8</v>
      </c>
    </row>
    <row r="12" customFormat="false" ht="16.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0" t="s">
        <v>10</v>
      </c>
    </row>
    <row r="15" customFormat="false" ht="16.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3" t="s">
        <v>12</v>
      </c>
      <c r="B16" s="3" t="s">
        <v>13</v>
      </c>
    </row>
    <row r="17" customFormat="false" ht="15" hidden="false" customHeight="false" outlineLevel="0" collapsed="false">
      <c r="A17" s="0" t="s">
        <v>14</v>
      </c>
      <c r="B17" s="0" t="s">
        <v>15</v>
      </c>
    </row>
    <row r="18" customFormat="false" ht="15" hidden="false" customHeight="false" outlineLevel="0" collapsed="false">
      <c r="A18" s="0" t="s">
        <v>16</v>
      </c>
      <c r="B18" s="0" t="s">
        <v>17</v>
      </c>
    </row>
    <row r="19" customFormat="false" ht="15" hidden="false" customHeight="false" outlineLevel="0" collapsed="false">
      <c r="A19" s="0" t="s">
        <v>18</v>
      </c>
      <c r="B19" s="0" t="s">
        <v>19</v>
      </c>
    </row>
    <row r="20" customFormat="false" ht="15" hidden="false" customHeight="false" outlineLevel="0" collapsed="false">
      <c r="A20" s="0" t="s">
        <v>20</v>
      </c>
      <c r="B20" s="0" t="s">
        <v>21</v>
      </c>
    </row>
    <row r="21" customFormat="false" ht="15" hidden="false" customHeight="false" outlineLevel="0" collapsed="false">
      <c r="A21" s="0" t="s">
        <v>22</v>
      </c>
      <c r="B21" s="0" t="s">
        <v>23</v>
      </c>
    </row>
    <row r="22" customFormat="false" ht="15" hidden="false" customHeight="false" outlineLevel="0" collapsed="false">
      <c r="A22" s="0" t="s">
        <v>24</v>
      </c>
      <c r="B22" s="0" t="s">
        <v>25</v>
      </c>
    </row>
    <row r="23" customFormat="false" ht="15" hidden="false" customHeight="false" outlineLevel="0" collapsed="false">
      <c r="A23" s="0" t="s">
        <v>26</v>
      </c>
      <c r="B23" s="0" t="s">
        <v>27</v>
      </c>
    </row>
    <row r="24" customFormat="false" ht="15" hidden="false" customHeight="false" outlineLevel="0" collapsed="false">
      <c r="A24" s="0" t="s">
        <v>28</v>
      </c>
      <c r="B24" s="0" t="s">
        <v>29</v>
      </c>
    </row>
    <row r="25" customFormat="false" ht="15" hidden="false" customHeight="false" outlineLevel="0" collapsed="false">
      <c r="A25" s="0" t="s">
        <v>30</v>
      </c>
      <c r="B25" s="0" t="s">
        <v>31</v>
      </c>
    </row>
    <row r="26" customFormat="false" ht="15" hidden="false" customHeight="false" outlineLevel="0" collapsed="false">
      <c r="A26" s="0" t="s">
        <v>32</v>
      </c>
      <c r="B26" s="0" t="s">
        <v>33</v>
      </c>
    </row>
    <row r="27" customFormat="false" ht="15" hidden="false" customHeight="false" outlineLevel="0" collapsed="false">
      <c r="A27" s="0" t="s">
        <v>34</v>
      </c>
      <c r="B27" s="0" t="s">
        <v>35</v>
      </c>
    </row>
    <row r="28" customFormat="false" ht="15" hidden="false" customHeight="false" outlineLevel="0" collapsed="false">
      <c r="A28" s="0" t="s">
        <v>36</v>
      </c>
      <c r="B28" s="0" t="s">
        <v>37</v>
      </c>
    </row>
    <row r="29" customFormat="false" ht="15" hidden="false" customHeight="false" outlineLevel="0" collapsed="false">
      <c r="A29" s="0" t="s">
        <v>38</v>
      </c>
      <c r="B29" s="0" t="s">
        <v>39</v>
      </c>
    </row>
    <row r="30" customFormat="false" ht="15" hidden="false" customHeight="false" outlineLevel="0" collapsed="false">
      <c r="A30" s="0" t="s">
        <v>40</v>
      </c>
      <c r="B30" s="0" t="s">
        <v>41</v>
      </c>
    </row>
    <row r="31" customFormat="false" ht="15" hidden="false" customHeight="false" outlineLevel="0" collapsed="false">
      <c r="A31" s="0" t="s">
        <v>42</v>
      </c>
      <c r="B31" s="0" t="s">
        <v>43</v>
      </c>
    </row>
    <row r="32" customFormat="false" ht="15" hidden="false" customHeight="false" outlineLevel="0" collapsed="false">
      <c r="A32" s="0" t="s">
        <v>44</v>
      </c>
      <c r="B32" s="0" t="s">
        <v>45</v>
      </c>
    </row>
    <row r="33" customFormat="false" ht="15" hidden="false" customHeight="false" outlineLevel="0" collapsed="false">
      <c r="A33" s="0" t="s">
        <v>46</v>
      </c>
      <c r="B33" s="0" t="s">
        <v>47</v>
      </c>
    </row>
    <row r="34" customFormat="false" ht="15" hidden="false" customHeight="false" outlineLevel="0" collapsed="false">
      <c r="A34" s="0" t="s">
        <v>48</v>
      </c>
      <c r="B34" s="0" t="s">
        <v>49</v>
      </c>
    </row>
    <row r="35" customFormat="false" ht="15" hidden="false" customHeight="false" outlineLevel="0" collapsed="false">
      <c r="A35" s="0" t="s">
        <v>50</v>
      </c>
      <c r="B35" s="0" t="s">
        <v>51</v>
      </c>
    </row>
    <row r="36" customFormat="false" ht="15" hidden="false" customHeight="false" outlineLevel="0" collapsed="false">
      <c r="A36" s="0" t="s">
        <v>52</v>
      </c>
      <c r="B36" s="0" t="s">
        <v>53</v>
      </c>
    </row>
    <row r="37" customFormat="false" ht="15" hidden="false" customHeight="false" outlineLevel="0" collapsed="false">
      <c r="A37" s="0" t="s">
        <v>54</v>
      </c>
      <c r="B37" s="0" t="s">
        <v>35</v>
      </c>
    </row>
    <row r="38" customFormat="false" ht="15" hidden="false" customHeight="false" outlineLevel="0" collapsed="false">
      <c r="A38" s="0" t="s">
        <v>55</v>
      </c>
      <c r="B38" s="0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4"/>
  </cols>
  <sheetData>
    <row r="1" customFormat="false" ht="16.15" hidden="false" customHeight="false" outlineLevel="0" collapsed="false">
      <c r="A1" s="2" t="s">
        <v>57</v>
      </c>
    </row>
    <row r="2" customFormat="false" ht="15" hidden="false" customHeight="false" outlineLevel="0" collapsed="false">
      <c r="A2" s="4" t="s">
        <v>58</v>
      </c>
      <c r="B2" s="4" t="s">
        <v>59</v>
      </c>
      <c r="C2" s="4" t="s">
        <v>60</v>
      </c>
    </row>
    <row r="3" customFormat="false" ht="15" hidden="false" customHeight="false" outlineLevel="0" collapsed="false">
      <c r="A3" s="0" t="n">
        <v>1</v>
      </c>
      <c r="B3" s="0" t="n">
        <v>2016</v>
      </c>
      <c r="C3" s="0" t="n">
        <v>2026</v>
      </c>
    </row>
    <row r="4" customFormat="false" ht="15" hidden="false" customHeight="false" outlineLevel="0" collapsed="false">
      <c r="A4" s="0" t="n">
        <v>2</v>
      </c>
      <c r="B4" s="0" t="n">
        <v>2017</v>
      </c>
      <c r="C4" s="0" t="n">
        <v>2027</v>
      </c>
    </row>
    <row r="5" customFormat="false" ht="15" hidden="false" customHeight="false" outlineLevel="0" collapsed="false">
      <c r="A5" s="0" t="n">
        <v>3</v>
      </c>
      <c r="B5" s="0" t="n">
        <v>2018</v>
      </c>
      <c r="C5" s="0" t="n">
        <v>2028</v>
      </c>
    </row>
    <row r="6" customFormat="false" ht="15" hidden="false" customHeight="false" outlineLevel="0" collapsed="false">
      <c r="A6" s="0" t="n">
        <v>4</v>
      </c>
      <c r="B6" s="0" t="n">
        <v>2019</v>
      </c>
      <c r="C6" s="0" t="n">
        <v>2029</v>
      </c>
    </row>
    <row r="7" customFormat="false" ht="15" hidden="false" customHeight="false" outlineLevel="0" collapsed="false">
      <c r="A7" s="0" t="n">
        <v>5</v>
      </c>
      <c r="B7" s="0" t="n">
        <v>2020</v>
      </c>
      <c r="C7" s="0" t="n">
        <v>2030</v>
      </c>
    </row>
    <row r="8" customFormat="false" ht="15" hidden="false" customHeight="false" outlineLevel="0" collapsed="false">
      <c r="A8" s="0" t="n">
        <v>6</v>
      </c>
      <c r="B8" s="0" t="n">
        <v>2021</v>
      </c>
    </row>
    <row r="9" customFormat="false" ht="15" hidden="false" customHeight="false" outlineLevel="0" collapsed="false">
      <c r="A9" s="0" t="n">
        <v>7</v>
      </c>
      <c r="B9" s="0" t="n">
        <v>2022</v>
      </c>
    </row>
    <row r="10" customFormat="false" ht="15" hidden="false" customHeight="false" outlineLevel="0" collapsed="false">
      <c r="A10" s="0" t="n">
        <v>8</v>
      </c>
      <c r="B10" s="0" t="n">
        <v>2023</v>
      </c>
    </row>
    <row r="11" customFormat="false" ht="15" hidden="false" customHeight="false" outlineLevel="0" collapsed="false">
      <c r="A11" s="0" t="n">
        <v>9</v>
      </c>
      <c r="B11" s="0" t="n">
        <v>2024</v>
      </c>
    </row>
    <row r="12" customFormat="false" ht="15" hidden="false" customHeight="false" outlineLevel="0" collapsed="false">
      <c r="A12" s="0" t="n">
        <v>10</v>
      </c>
      <c r="B12" s="0" t="n">
        <v>2025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12"/>
  </cols>
  <sheetData>
    <row r="1" customFormat="false" ht="471.6" hidden="false" customHeight="false" outlineLevel="0" collapsed="false">
      <c r="A1" s="5" t="s">
        <v>61</v>
      </c>
      <c r="B1" s="5" t="s">
        <v>62</v>
      </c>
      <c r="C1" s="5" t="s">
        <v>63</v>
      </c>
      <c r="D1" s="5" t="s">
        <v>64</v>
      </c>
      <c r="E1" s="5" t="s">
        <v>65</v>
      </c>
      <c r="F1" s="5" t="s">
        <v>66</v>
      </c>
      <c r="G1" s="5" t="s">
        <v>67</v>
      </c>
      <c r="H1" s="5" t="s">
        <v>68</v>
      </c>
      <c r="I1" s="5" t="s">
        <v>69</v>
      </c>
      <c r="J1" s="5" t="s">
        <v>70</v>
      </c>
      <c r="K1" s="5" t="s">
        <v>71</v>
      </c>
      <c r="L1" s="5" t="s">
        <v>72</v>
      </c>
      <c r="M1" s="5" t="s">
        <v>73</v>
      </c>
      <c r="N1" s="5" t="s">
        <v>74</v>
      </c>
      <c r="O1" s="5" t="s">
        <v>75</v>
      </c>
      <c r="P1" s="5" t="s">
        <v>76</v>
      </c>
      <c r="Q1" s="5" t="s">
        <v>77</v>
      </c>
      <c r="R1" s="5" t="s">
        <v>78</v>
      </c>
      <c r="S1" s="5" t="s">
        <v>79</v>
      </c>
      <c r="T1" s="5" t="s">
        <v>80</v>
      </c>
      <c r="U1" s="5" t="s">
        <v>81</v>
      </c>
      <c r="V1" s="5" t="s">
        <v>82</v>
      </c>
      <c r="W1" s="5" t="s">
        <v>83</v>
      </c>
      <c r="X1" s="5" t="s">
        <v>84</v>
      </c>
      <c r="Y1" s="5" t="s">
        <v>85</v>
      </c>
      <c r="Z1" s="5" t="s">
        <v>86</v>
      </c>
      <c r="AA1" s="5" t="s">
        <v>87</v>
      </c>
      <c r="AB1" s="5" t="s">
        <v>88</v>
      </c>
      <c r="AC1" s="5" t="s">
        <v>89</v>
      </c>
      <c r="AD1" s="5" t="s">
        <v>90</v>
      </c>
      <c r="AE1" s="5" t="s">
        <v>91</v>
      </c>
      <c r="AF1" s="5" t="s">
        <v>92</v>
      </c>
      <c r="AG1" s="5" t="s">
        <v>93</v>
      </c>
      <c r="AH1" s="5" t="s">
        <v>94</v>
      </c>
      <c r="AI1" s="5" t="s">
        <v>95</v>
      </c>
      <c r="AJ1" s="5" t="s">
        <v>96</v>
      </c>
      <c r="AK1" s="5" t="s">
        <v>97</v>
      </c>
      <c r="AL1" s="5" t="s">
        <v>98</v>
      </c>
      <c r="AM1" s="5" t="s">
        <v>99</v>
      </c>
      <c r="AN1" s="5" t="s">
        <v>100</v>
      </c>
      <c r="AO1" s="5" t="s">
        <v>101</v>
      </c>
      <c r="AP1" s="5" t="s">
        <v>102</v>
      </c>
      <c r="AQ1" s="5" t="s">
        <v>103</v>
      </c>
      <c r="AR1" s="5" t="s">
        <v>104</v>
      </c>
      <c r="AS1" s="5" t="s">
        <v>105</v>
      </c>
      <c r="AT1" s="5" t="s">
        <v>106</v>
      </c>
      <c r="AU1" s="5" t="s">
        <v>107</v>
      </c>
      <c r="AV1" s="5" t="s">
        <v>108</v>
      </c>
      <c r="AW1" s="5" t="s">
        <v>109</v>
      </c>
      <c r="AX1" s="5" t="s">
        <v>110</v>
      </c>
      <c r="AY1" s="5" t="s">
        <v>111</v>
      </c>
      <c r="AZ1" s="5" t="s">
        <v>112</v>
      </c>
      <c r="BA1" s="5" t="s">
        <v>113</v>
      </c>
      <c r="BB1" s="5" t="s">
        <v>114</v>
      </c>
      <c r="BC1" s="5" t="s">
        <v>115</v>
      </c>
      <c r="BD1" s="5" t="s">
        <v>116</v>
      </c>
      <c r="BE1" s="5" t="s">
        <v>117</v>
      </c>
      <c r="BF1" s="5" t="s">
        <v>118</v>
      </c>
      <c r="BG1" s="5" t="s">
        <v>119</v>
      </c>
      <c r="BH1" s="5" t="s">
        <v>120</v>
      </c>
      <c r="BI1" s="5" t="s">
        <v>121</v>
      </c>
      <c r="BJ1" s="5" t="s">
        <v>122</v>
      </c>
      <c r="BK1" s="5" t="s">
        <v>123</v>
      </c>
      <c r="BL1" s="5" t="s">
        <v>124</v>
      </c>
      <c r="BM1" s="5" t="s">
        <v>125</v>
      </c>
      <c r="BN1" s="5" t="s">
        <v>126</v>
      </c>
      <c r="BO1" s="5" t="s">
        <v>127</v>
      </c>
      <c r="BP1" s="5" t="s">
        <v>128</v>
      </c>
      <c r="BQ1" s="5" t="s">
        <v>129</v>
      </c>
      <c r="BR1" s="5" t="s">
        <v>130</v>
      </c>
      <c r="BS1" s="5" t="s">
        <v>131</v>
      </c>
      <c r="BT1" s="5" t="s">
        <v>132</v>
      </c>
      <c r="BU1" s="5" t="s">
        <v>133</v>
      </c>
      <c r="BV1" s="5" t="s">
        <v>134</v>
      </c>
      <c r="BW1" s="5" t="s">
        <v>135</v>
      </c>
      <c r="BX1" s="5" t="s">
        <v>136</v>
      </c>
      <c r="BY1" s="5" t="s">
        <v>137</v>
      </c>
      <c r="BZ1" s="5" t="s">
        <v>138</v>
      </c>
      <c r="CA1" s="5" t="s">
        <v>139</v>
      </c>
    </row>
    <row r="2" customFormat="false" ht="15" hidden="false" customHeight="false" outlineLevel="0" collapsed="false">
      <c r="A2" s="0" t="s">
        <v>140</v>
      </c>
      <c r="B2" s="0" t="s">
        <v>141</v>
      </c>
      <c r="C2" s="0" t="s">
        <v>141</v>
      </c>
      <c r="D2" s="0" t="s">
        <v>141</v>
      </c>
      <c r="E2" s="0" t="s">
        <v>141</v>
      </c>
      <c r="F2" s="0" t="s">
        <v>141</v>
      </c>
      <c r="G2" s="0" t="s">
        <v>141</v>
      </c>
      <c r="H2" s="0" t="s">
        <v>141</v>
      </c>
      <c r="I2" s="0" t="s">
        <v>141</v>
      </c>
      <c r="J2" s="0" t="s">
        <v>141</v>
      </c>
      <c r="K2" s="0" t="s">
        <v>141</v>
      </c>
      <c r="L2" s="0" t="s">
        <v>141</v>
      </c>
      <c r="M2" s="0" t="s">
        <v>141</v>
      </c>
      <c r="N2" s="0" t="s">
        <v>141</v>
      </c>
      <c r="O2" s="0" t="s">
        <v>141</v>
      </c>
      <c r="P2" s="0" t="s">
        <v>141</v>
      </c>
      <c r="Q2" s="0" t="s">
        <v>141</v>
      </c>
      <c r="R2" s="0" t="s">
        <v>141</v>
      </c>
      <c r="S2" s="0" t="s">
        <v>141</v>
      </c>
      <c r="T2" s="0" t="s">
        <v>141</v>
      </c>
      <c r="U2" s="0" t="s">
        <v>141</v>
      </c>
      <c r="V2" s="0" t="s">
        <v>141</v>
      </c>
      <c r="W2" s="0" t="s">
        <v>141</v>
      </c>
      <c r="X2" s="0" t="s">
        <v>141</v>
      </c>
      <c r="Y2" s="0" t="s">
        <v>141</v>
      </c>
      <c r="Z2" s="0" t="s">
        <v>141</v>
      </c>
      <c r="AA2" s="0" t="s">
        <v>141</v>
      </c>
      <c r="AB2" s="0" t="s">
        <v>141</v>
      </c>
      <c r="AC2" s="0" t="s">
        <v>141</v>
      </c>
      <c r="AD2" s="0" t="s">
        <v>141</v>
      </c>
      <c r="AE2" s="0" t="s">
        <v>141</v>
      </c>
      <c r="AF2" s="0" t="s">
        <v>141</v>
      </c>
      <c r="AG2" s="0" t="s">
        <v>141</v>
      </c>
      <c r="AH2" s="0" t="s">
        <v>141</v>
      </c>
      <c r="AI2" s="0" t="s">
        <v>141</v>
      </c>
      <c r="AJ2" s="0" t="s">
        <v>141</v>
      </c>
      <c r="AK2" s="0" t="s">
        <v>141</v>
      </c>
      <c r="AL2" s="0" t="s">
        <v>141</v>
      </c>
      <c r="AM2" s="0" t="s">
        <v>141</v>
      </c>
      <c r="AN2" s="0" t="s">
        <v>141</v>
      </c>
      <c r="AO2" s="0" t="s">
        <v>141</v>
      </c>
      <c r="AP2" s="0" t="s">
        <v>141</v>
      </c>
      <c r="AQ2" s="0" t="s">
        <v>141</v>
      </c>
      <c r="AR2" s="0" t="s">
        <v>141</v>
      </c>
      <c r="AS2" s="0" t="s">
        <v>141</v>
      </c>
      <c r="AT2" s="0" t="s">
        <v>141</v>
      </c>
      <c r="AU2" s="0" t="s">
        <v>141</v>
      </c>
      <c r="AV2" s="0" t="s">
        <v>141</v>
      </c>
      <c r="AW2" s="0" t="s">
        <v>141</v>
      </c>
      <c r="AX2" s="0" t="s">
        <v>141</v>
      </c>
      <c r="AY2" s="0" t="s">
        <v>141</v>
      </c>
      <c r="AZ2" s="0" t="s">
        <v>141</v>
      </c>
      <c r="BA2" s="0" t="s">
        <v>141</v>
      </c>
      <c r="BB2" s="0" t="s">
        <v>141</v>
      </c>
      <c r="BC2" s="0" t="s">
        <v>141</v>
      </c>
      <c r="BD2" s="0" t="s">
        <v>141</v>
      </c>
      <c r="BE2" s="0" t="s">
        <v>141</v>
      </c>
      <c r="BF2" s="0" t="s">
        <v>141</v>
      </c>
      <c r="BG2" s="0" t="s">
        <v>141</v>
      </c>
      <c r="BH2" s="0" t="s">
        <v>141</v>
      </c>
      <c r="BI2" s="0" t="s">
        <v>141</v>
      </c>
      <c r="BJ2" s="0" t="s">
        <v>141</v>
      </c>
      <c r="BK2" s="0" t="s">
        <v>141</v>
      </c>
      <c r="BL2" s="0" t="s">
        <v>141</v>
      </c>
      <c r="BM2" s="0" t="s">
        <v>141</v>
      </c>
      <c r="BN2" s="0" t="s">
        <v>141</v>
      </c>
      <c r="BO2" s="0" t="s">
        <v>141</v>
      </c>
      <c r="BP2" s="0" t="s">
        <v>141</v>
      </c>
      <c r="BQ2" s="0" t="s">
        <v>141</v>
      </c>
      <c r="BR2" s="0" t="s">
        <v>141</v>
      </c>
      <c r="BS2" s="0" t="s">
        <v>141</v>
      </c>
      <c r="BT2" s="0" t="s">
        <v>141</v>
      </c>
      <c r="BU2" s="0" t="s">
        <v>141</v>
      </c>
      <c r="BV2" s="0" t="s">
        <v>141</v>
      </c>
      <c r="BW2" s="0" t="s">
        <v>141</v>
      </c>
      <c r="BX2" s="0" t="s">
        <v>141</v>
      </c>
      <c r="BY2" s="0" t="s">
        <v>141</v>
      </c>
      <c r="BZ2" s="0" t="s">
        <v>141</v>
      </c>
      <c r="CA2" s="0" t="s">
        <v>141</v>
      </c>
    </row>
    <row r="3" customFormat="false" ht="15" hidden="false" customHeight="false" outlineLevel="0" collapsed="false">
      <c r="A3" s="0" t="s">
        <v>142</v>
      </c>
      <c r="B3" s="0" t="s">
        <v>143</v>
      </c>
      <c r="C3" s="0" t="s">
        <v>144</v>
      </c>
      <c r="D3" s="0" t="s">
        <v>145</v>
      </c>
      <c r="E3" s="0" t="s">
        <v>146</v>
      </c>
      <c r="F3" s="0" t="s">
        <v>147</v>
      </c>
      <c r="G3" s="0" t="s">
        <v>148</v>
      </c>
      <c r="H3" s="0" t="s">
        <v>149</v>
      </c>
      <c r="I3" s="0" t="s">
        <v>150</v>
      </c>
      <c r="J3" s="0" t="s">
        <v>151</v>
      </c>
      <c r="K3" s="0" t="s">
        <v>152</v>
      </c>
      <c r="L3" s="0" t="s">
        <v>153</v>
      </c>
      <c r="M3" s="0" t="s">
        <v>154</v>
      </c>
      <c r="N3" s="0" t="s">
        <v>155</v>
      </c>
      <c r="O3" s="0" t="s">
        <v>156</v>
      </c>
      <c r="P3" s="0" t="s">
        <v>157</v>
      </c>
      <c r="Q3" s="0" t="s">
        <v>158</v>
      </c>
      <c r="R3" s="0" t="s">
        <v>159</v>
      </c>
      <c r="S3" s="0" t="s">
        <v>160</v>
      </c>
      <c r="T3" s="0" t="s">
        <v>161</v>
      </c>
      <c r="U3" s="0" t="s">
        <v>162</v>
      </c>
      <c r="V3" s="0" t="s">
        <v>163</v>
      </c>
      <c r="W3" s="0" t="s">
        <v>164</v>
      </c>
      <c r="X3" s="0" t="s">
        <v>165</v>
      </c>
      <c r="Y3" s="0" t="s">
        <v>166</v>
      </c>
      <c r="Z3" s="0" t="s">
        <v>167</v>
      </c>
      <c r="AA3" s="0" t="s">
        <v>168</v>
      </c>
      <c r="AB3" s="0" t="s">
        <v>169</v>
      </c>
      <c r="AC3" s="0" t="s">
        <v>170</v>
      </c>
      <c r="AD3" s="0" t="s">
        <v>171</v>
      </c>
      <c r="AE3" s="0" t="s">
        <v>172</v>
      </c>
      <c r="AF3" s="0" t="s">
        <v>173</v>
      </c>
      <c r="AG3" s="0" t="s">
        <v>174</v>
      </c>
      <c r="AH3" s="0" t="s">
        <v>175</v>
      </c>
      <c r="AI3" s="0" t="s">
        <v>176</v>
      </c>
      <c r="AJ3" s="0" t="s">
        <v>177</v>
      </c>
      <c r="AK3" s="0" t="s">
        <v>178</v>
      </c>
      <c r="AL3" s="0" t="s">
        <v>179</v>
      </c>
      <c r="AM3" s="0" t="s">
        <v>180</v>
      </c>
      <c r="AN3" s="0" t="s">
        <v>181</v>
      </c>
      <c r="AO3" s="0" t="s">
        <v>182</v>
      </c>
      <c r="AP3" s="0" t="s">
        <v>183</v>
      </c>
      <c r="AQ3" s="0" t="s">
        <v>184</v>
      </c>
      <c r="AR3" s="0" t="s">
        <v>185</v>
      </c>
      <c r="AS3" s="0" t="s">
        <v>186</v>
      </c>
      <c r="AT3" s="0" t="s">
        <v>187</v>
      </c>
      <c r="AU3" s="0" t="s">
        <v>188</v>
      </c>
      <c r="AV3" s="0" t="s">
        <v>189</v>
      </c>
      <c r="AW3" s="0" t="s">
        <v>190</v>
      </c>
      <c r="AX3" s="0" t="s">
        <v>191</v>
      </c>
      <c r="AY3" s="0" t="s">
        <v>192</v>
      </c>
      <c r="AZ3" s="0" t="s">
        <v>193</v>
      </c>
      <c r="BA3" s="0" t="s">
        <v>194</v>
      </c>
      <c r="BB3" s="0" t="s">
        <v>195</v>
      </c>
      <c r="BC3" s="0" t="s">
        <v>196</v>
      </c>
      <c r="BD3" s="0" t="s">
        <v>197</v>
      </c>
      <c r="BE3" s="0" t="s">
        <v>198</v>
      </c>
      <c r="BF3" s="0" t="s">
        <v>199</v>
      </c>
      <c r="BG3" s="0" t="s">
        <v>200</v>
      </c>
      <c r="BH3" s="0" t="s">
        <v>201</v>
      </c>
      <c r="BI3" s="0" t="s">
        <v>202</v>
      </c>
      <c r="BJ3" s="0" t="s">
        <v>203</v>
      </c>
      <c r="BK3" s="0" t="s">
        <v>204</v>
      </c>
      <c r="BL3" s="0" t="s">
        <v>205</v>
      </c>
      <c r="BM3" s="0" t="s">
        <v>206</v>
      </c>
      <c r="BN3" s="0" t="s">
        <v>207</v>
      </c>
      <c r="BO3" s="0" t="s">
        <v>208</v>
      </c>
      <c r="BP3" s="0" t="s">
        <v>209</v>
      </c>
      <c r="BQ3" s="0" t="s">
        <v>210</v>
      </c>
      <c r="BR3" s="0" t="s">
        <v>211</v>
      </c>
      <c r="BS3" s="0" t="s">
        <v>212</v>
      </c>
      <c r="BT3" s="0" t="s">
        <v>213</v>
      </c>
      <c r="BU3" s="0" t="s">
        <v>214</v>
      </c>
      <c r="BV3" s="0" t="s">
        <v>215</v>
      </c>
      <c r="BW3" s="0" t="s">
        <v>216</v>
      </c>
      <c r="BX3" s="0" t="s">
        <v>217</v>
      </c>
      <c r="BY3" s="0" t="s">
        <v>218</v>
      </c>
      <c r="BZ3" s="0" t="s">
        <v>219</v>
      </c>
      <c r="CA3" s="0" t="s">
        <v>220</v>
      </c>
    </row>
    <row r="4" customFormat="false" ht="15" hidden="false" customHeight="false" outlineLevel="0" collapsed="false">
      <c r="A4" s="0" t="s">
        <v>221</v>
      </c>
      <c r="B4" s="6" t="n">
        <v>32621</v>
      </c>
      <c r="C4" s="6" t="n">
        <v>1874</v>
      </c>
      <c r="D4" s="6" t="n">
        <v>11088</v>
      </c>
      <c r="E4" s="6" t="n">
        <v>2208</v>
      </c>
      <c r="F4" s="6" t="n">
        <v>1379</v>
      </c>
      <c r="G4" s="6" t="n">
        <v>7580</v>
      </c>
      <c r="H4" s="6" t="n">
        <v>4153</v>
      </c>
      <c r="I4" s="6" t="n">
        <v>319</v>
      </c>
      <c r="J4" s="6" t="n">
        <v>363</v>
      </c>
      <c r="K4" s="6" t="n">
        <v>1174</v>
      </c>
      <c r="L4" s="6" t="n">
        <v>2478</v>
      </c>
      <c r="M4" s="6" t="n">
        <v>2679</v>
      </c>
      <c r="N4" s="6" t="n">
        <v>2610</v>
      </c>
      <c r="O4" s="6" t="n">
        <v>68</v>
      </c>
      <c r="P4" s="6" t="n">
        <v>83621</v>
      </c>
      <c r="Q4" s="6" t="n">
        <v>827</v>
      </c>
      <c r="R4" s="6" t="n">
        <v>1415</v>
      </c>
      <c r="S4" s="6" t="n">
        <v>7</v>
      </c>
      <c r="T4" s="6" t="n">
        <v>1769</v>
      </c>
      <c r="U4" s="6" t="n">
        <v>242</v>
      </c>
      <c r="V4" s="6" t="n">
        <v>4722</v>
      </c>
      <c r="W4" s="6" t="n">
        <v>665</v>
      </c>
      <c r="X4" s="6" t="n">
        <v>73494</v>
      </c>
      <c r="Y4" s="6" t="n">
        <v>476</v>
      </c>
      <c r="Z4" s="6" t="n">
        <v>67702</v>
      </c>
      <c r="AA4" s="6" t="n">
        <v>42273</v>
      </c>
      <c r="AB4" s="6" t="n">
        <v>6946</v>
      </c>
      <c r="AC4" s="6" t="n">
        <v>18480</v>
      </c>
      <c r="AD4" s="6" t="n">
        <v>675</v>
      </c>
      <c r="AE4" s="6" t="n">
        <v>422</v>
      </c>
      <c r="AF4" s="6" t="n">
        <v>217</v>
      </c>
      <c r="AG4" s="6" t="n">
        <v>37</v>
      </c>
      <c r="AH4" s="6" t="n">
        <v>8367</v>
      </c>
      <c r="AI4" s="6" t="n">
        <v>227</v>
      </c>
      <c r="AJ4" s="6" t="n">
        <v>657</v>
      </c>
      <c r="AK4" s="6" t="n">
        <v>847</v>
      </c>
      <c r="AL4" s="6" t="n">
        <v>3486</v>
      </c>
      <c r="AM4" s="6" t="n">
        <v>985</v>
      </c>
      <c r="AN4" s="6" t="n">
        <v>369</v>
      </c>
      <c r="AO4" s="6" t="n">
        <v>315</v>
      </c>
      <c r="AP4" s="6" t="n">
        <v>418</v>
      </c>
      <c r="AQ4" s="6" t="n">
        <v>1065</v>
      </c>
      <c r="AR4" s="6" t="n">
        <v>13406</v>
      </c>
      <c r="AS4" s="6" t="n">
        <v>184</v>
      </c>
      <c r="AT4" s="6" t="n">
        <v>246</v>
      </c>
      <c r="AU4" s="6" t="n">
        <v>111</v>
      </c>
      <c r="AV4" s="6" t="n">
        <v>984</v>
      </c>
      <c r="AW4" s="6" t="n">
        <v>268</v>
      </c>
      <c r="AX4" s="6" t="n">
        <v>1060</v>
      </c>
      <c r="AY4" s="6" t="n">
        <v>602</v>
      </c>
      <c r="AZ4" s="6" t="n">
        <v>8842</v>
      </c>
      <c r="BA4" s="6" t="n">
        <v>1107</v>
      </c>
      <c r="BB4" s="6" t="n">
        <v>15387</v>
      </c>
      <c r="BC4" s="6" t="n">
        <v>872</v>
      </c>
      <c r="BD4" s="6" t="n">
        <v>1872</v>
      </c>
      <c r="BE4" s="6" t="n">
        <v>161</v>
      </c>
      <c r="BF4" s="6" t="n">
        <v>2269</v>
      </c>
      <c r="BG4" s="6" t="n">
        <v>1542</v>
      </c>
      <c r="BH4" s="6" t="n">
        <v>1752</v>
      </c>
      <c r="BI4" s="6" t="n">
        <v>1691</v>
      </c>
      <c r="BJ4" s="6" t="n">
        <v>2940</v>
      </c>
      <c r="BK4" s="6" t="n">
        <v>2290</v>
      </c>
      <c r="BL4" s="6" t="n">
        <v>6558</v>
      </c>
      <c r="BM4" s="6" t="n">
        <v>136</v>
      </c>
      <c r="BN4" s="6" t="n">
        <v>133</v>
      </c>
      <c r="BO4" s="6" t="n">
        <v>64</v>
      </c>
      <c r="BP4" s="6" t="n">
        <v>328</v>
      </c>
      <c r="BQ4" s="6" t="n">
        <v>92</v>
      </c>
      <c r="BR4" s="6" t="n">
        <v>2532</v>
      </c>
      <c r="BS4" s="6" t="n">
        <v>409</v>
      </c>
      <c r="BT4" s="6" t="n">
        <v>2862</v>
      </c>
      <c r="BU4" s="6" t="n">
        <v>27452</v>
      </c>
      <c r="BV4" s="6" t="n">
        <v>1563</v>
      </c>
      <c r="BW4" s="6" t="n">
        <v>989</v>
      </c>
      <c r="BX4" s="6" t="n">
        <v>1</v>
      </c>
      <c r="BY4" s="6" t="n">
        <v>18857</v>
      </c>
      <c r="BZ4" s="6" t="n">
        <v>6043</v>
      </c>
      <c r="CA4" s="6" t="n">
        <v>258469</v>
      </c>
    </row>
    <row r="5" customFormat="false" ht="15" hidden="false" customHeight="false" outlineLevel="0" collapsed="false">
      <c r="A5" s="0" t="s">
        <v>222</v>
      </c>
      <c r="B5" s="6" t="n">
        <v>36596</v>
      </c>
      <c r="C5" s="6" t="n">
        <v>1618</v>
      </c>
      <c r="D5" s="6" t="n">
        <v>11834</v>
      </c>
      <c r="E5" s="6" t="n">
        <v>2345</v>
      </c>
      <c r="F5" s="6" t="n">
        <v>1424</v>
      </c>
      <c r="G5" s="6" t="n">
        <v>9336</v>
      </c>
      <c r="H5" s="6" t="n">
        <v>5099</v>
      </c>
      <c r="I5" s="6" t="n">
        <v>330</v>
      </c>
      <c r="J5" s="6" t="n">
        <v>369</v>
      </c>
      <c r="K5" s="6" t="n">
        <v>1230</v>
      </c>
      <c r="L5" s="6" t="n">
        <v>3011</v>
      </c>
      <c r="M5" s="6" t="n">
        <v>3031</v>
      </c>
      <c r="N5" s="6" t="n">
        <v>2962</v>
      </c>
      <c r="O5" s="6" t="n">
        <v>67</v>
      </c>
      <c r="P5" s="6" t="n">
        <v>99473</v>
      </c>
      <c r="Q5" s="6" t="n">
        <v>808</v>
      </c>
      <c r="R5" s="6" t="n">
        <v>1906</v>
      </c>
      <c r="S5" s="6" t="n">
        <v>0</v>
      </c>
      <c r="T5" s="6" t="n">
        <v>1975</v>
      </c>
      <c r="U5" s="6" t="n">
        <v>277</v>
      </c>
      <c r="V5" s="6" t="n">
        <v>5852</v>
      </c>
      <c r="W5" s="6" t="n">
        <v>1575</v>
      </c>
      <c r="X5" s="6" t="n">
        <v>86583</v>
      </c>
      <c r="Y5" s="6" t="n">
        <v>496</v>
      </c>
      <c r="Z5" s="6" t="n">
        <v>91149</v>
      </c>
      <c r="AA5" s="6" t="n">
        <v>57133</v>
      </c>
      <c r="AB5" s="6" t="n">
        <v>7662</v>
      </c>
      <c r="AC5" s="6" t="n">
        <v>26355</v>
      </c>
      <c r="AD5" s="6" t="n">
        <v>680</v>
      </c>
      <c r="AE5" s="6" t="n">
        <v>390</v>
      </c>
      <c r="AF5" s="6" t="n">
        <v>241</v>
      </c>
      <c r="AG5" s="6" t="n">
        <v>49</v>
      </c>
      <c r="AH5" s="6" t="n">
        <v>8643</v>
      </c>
      <c r="AI5" s="6" t="n">
        <v>199</v>
      </c>
      <c r="AJ5" s="6" t="n">
        <v>702</v>
      </c>
      <c r="AK5" s="6" t="n">
        <v>959</v>
      </c>
      <c r="AL5" s="6" t="n">
        <v>3478</v>
      </c>
      <c r="AM5" s="6" t="n">
        <v>1180</v>
      </c>
      <c r="AN5" s="6" t="n">
        <v>265</v>
      </c>
      <c r="AO5" s="6" t="n">
        <v>339</v>
      </c>
      <c r="AP5" s="6" t="n">
        <v>443</v>
      </c>
      <c r="AQ5" s="6" t="n">
        <v>1072</v>
      </c>
      <c r="AR5" s="6" t="n">
        <v>14749</v>
      </c>
      <c r="AS5" s="6" t="n">
        <v>166</v>
      </c>
      <c r="AT5" s="6" t="n">
        <v>294</v>
      </c>
      <c r="AU5" s="6" t="n">
        <v>115</v>
      </c>
      <c r="AV5" s="6" t="n">
        <v>1013</v>
      </c>
      <c r="AW5" s="6" t="n">
        <v>274</v>
      </c>
      <c r="AX5" s="6" t="n">
        <v>902</v>
      </c>
      <c r="AY5" s="6" t="n">
        <v>917</v>
      </c>
      <c r="AZ5" s="6" t="n">
        <v>9957</v>
      </c>
      <c r="BA5" s="6" t="n">
        <v>1114</v>
      </c>
      <c r="BB5" s="6" t="n">
        <v>14638</v>
      </c>
      <c r="BC5" s="6" t="n">
        <v>742</v>
      </c>
      <c r="BD5" s="6" t="n">
        <v>1886</v>
      </c>
      <c r="BE5" s="6" t="n">
        <v>188</v>
      </c>
      <c r="BF5" s="6" t="n">
        <v>2191</v>
      </c>
      <c r="BG5" s="6" t="n">
        <v>1226</v>
      </c>
      <c r="BH5" s="6" t="n">
        <v>2012</v>
      </c>
      <c r="BI5" s="6" t="n">
        <v>1847</v>
      </c>
      <c r="BJ5" s="6" t="n">
        <v>2264</v>
      </c>
      <c r="BK5" s="6" t="n">
        <v>2283</v>
      </c>
      <c r="BL5" s="6" t="n">
        <v>6857</v>
      </c>
      <c r="BM5" s="6" t="n">
        <v>144</v>
      </c>
      <c r="BN5" s="6" t="n">
        <v>141</v>
      </c>
      <c r="BO5" s="6" t="n">
        <v>70</v>
      </c>
      <c r="BP5" s="6" t="n">
        <v>328</v>
      </c>
      <c r="BQ5" s="6" t="n">
        <v>115</v>
      </c>
      <c r="BR5" s="6" t="n">
        <v>2619</v>
      </c>
      <c r="BS5" s="6" t="n">
        <v>427</v>
      </c>
      <c r="BT5" s="6" t="n">
        <v>3017</v>
      </c>
      <c r="BU5" s="6" t="n">
        <v>25523</v>
      </c>
      <c r="BV5" s="6" t="n">
        <v>1474</v>
      </c>
      <c r="BW5" s="6" t="n">
        <v>677</v>
      </c>
      <c r="BX5" s="6" t="n">
        <v>1</v>
      </c>
      <c r="BY5" s="6" t="n">
        <v>17620</v>
      </c>
      <c r="BZ5" s="6" t="n">
        <v>5749</v>
      </c>
      <c r="CA5" s="6" t="n">
        <v>301334</v>
      </c>
    </row>
    <row r="6" customFormat="false" ht="15" hidden="false" customHeight="false" outlineLevel="0" collapsed="false">
      <c r="A6" s="0" t="s">
        <v>223</v>
      </c>
      <c r="B6" s="6" t="n">
        <v>35271</v>
      </c>
      <c r="C6" s="6" t="n">
        <v>1825</v>
      </c>
      <c r="D6" s="6" t="n">
        <v>13605</v>
      </c>
      <c r="E6" s="6" t="n">
        <v>2481</v>
      </c>
      <c r="F6" s="6" t="n">
        <v>1469</v>
      </c>
      <c r="G6" s="6" t="n">
        <v>7326</v>
      </c>
      <c r="H6" s="6" t="n">
        <v>3567</v>
      </c>
      <c r="I6" s="6" t="n">
        <v>300</v>
      </c>
      <c r="J6" s="6" t="n">
        <v>393</v>
      </c>
      <c r="K6" s="6" t="n">
        <v>1359</v>
      </c>
      <c r="L6" s="6" t="n">
        <v>2946</v>
      </c>
      <c r="M6" s="6" t="n">
        <v>3377</v>
      </c>
      <c r="N6" s="6" t="n">
        <v>3318</v>
      </c>
      <c r="O6" s="6" t="n">
        <v>59</v>
      </c>
      <c r="P6" s="6" t="n">
        <v>106879</v>
      </c>
      <c r="Q6" s="6" t="n">
        <v>731</v>
      </c>
      <c r="R6" s="6" t="n">
        <v>1398</v>
      </c>
      <c r="S6" s="6" t="n">
        <v>15</v>
      </c>
      <c r="T6" s="6" t="n">
        <v>2218</v>
      </c>
      <c r="U6" s="6" t="n">
        <v>238</v>
      </c>
      <c r="V6" s="6" t="n">
        <v>6474</v>
      </c>
      <c r="W6" s="6" t="n">
        <v>2110</v>
      </c>
      <c r="X6" s="6" t="n">
        <v>93112</v>
      </c>
      <c r="Y6" s="6" t="n">
        <v>584</v>
      </c>
      <c r="Z6" s="6" t="n">
        <v>122269</v>
      </c>
      <c r="AA6" s="6" t="n">
        <v>66848</v>
      </c>
      <c r="AB6" s="6" t="n">
        <v>11191</v>
      </c>
      <c r="AC6" s="6" t="n">
        <v>44229</v>
      </c>
      <c r="AD6" s="6" t="n">
        <v>663</v>
      </c>
      <c r="AE6" s="6" t="n">
        <v>368</v>
      </c>
      <c r="AF6" s="6" t="n">
        <v>240</v>
      </c>
      <c r="AG6" s="6" t="n">
        <v>55</v>
      </c>
      <c r="AH6" s="6" t="n">
        <v>10510</v>
      </c>
      <c r="AI6" s="6" t="n">
        <v>201</v>
      </c>
      <c r="AJ6" s="6" t="n">
        <v>937</v>
      </c>
      <c r="AK6" s="6" t="n">
        <v>1029</v>
      </c>
      <c r="AL6" s="6" t="n">
        <v>4750</v>
      </c>
      <c r="AM6" s="6" t="n">
        <v>1346</v>
      </c>
      <c r="AN6" s="6" t="n">
        <v>320</v>
      </c>
      <c r="AO6" s="6" t="n">
        <v>298</v>
      </c>
      <c r="AP6" s="6" t="n">
        <v>443</v>
      </c>
      <c r="AQ6" s="6" t="n">
        <v>1185</v>
      </c>
      <c r="AR6" s="6" t="n">
        <v>17031</v>
      </c>
      <c r="AS6" s="6" t="n">
        <v>166</v>
      </c>
      <c r="AT6" s="6" t="n">
        <v>307</v>
      </c>
      <c r="AU6" s="6" t="n">
        <v>97</v>
      </c>
      <c r="AV6" s="6" t="n">
        <v>1145</v>
      </c>
      <c r="AW6" s="6" t="n">
        <v>273</v>
      </c>
      <c r="AX6" s="6" t="n">
        <v>927</v>
      </c>
      <c r="AY6" s="6" t="n">
        <v>1029</v>
      </c>
      <c r="AZ6" s="6" t="n">
        <v>11823</v>
      </c>
      <c r="BA6" s="6" t="n">
        <v>1265</v>
      </c>
      <c r="BB6" s="6" t="n">
        <v>15352</v>
      </c>
      <c r="BC6" s="6" t="n">
        <v>939</v>
      </c>
      <c r="BD6" s="6" t="n">
        <v>1833</v>
      </c>
      <c r="BE6" s="6" t="n">
        <v>275</v>
      </c>
      <c r="BF6" s="6" t="n">
        <v>2296</v>
      </c>
      <c r="BG6" s="6" t="n">
        <v>1284</v>
      </c>
      <c r="BH6" s="6" t="n">
        <v>2008</v>
      </c>
      <c r="BI6" s="6" t="n">
        <v>2078</v>
      </c>
      <c r="BJ6" s="6" t="n">
        <v>1693</v>
      </c>
      <c r="BK6" s="6" t="n">
        <v>2945</v>
      </c>
      <c r="BL6" s="6" t="n">
        <v>7288</v>
      </c>
      <c r="BM6" s="6" t="n">
        <v>162</v>
      </c>
      <c r="BN6" s="6" t="n">
        <v>152</v>
      </c>
      <c r="BO6" s="6" t="n">
        <v>80</v>
      </c>
      <c r="BP6" s="6" t="n">
        <v>336</v>
      </c>
      <c r="BQ6" s="6" t="n">
        <v>124</v>
      </c>
      <c r="BR6" s="6" t="n">
        <v>2765</v>
      </c>
      <c r="BS6" s="6" t="n">
        <v>440</v>
      </c>
      <c r="BT6" s="6" t="n">
        <v>3231</v>
      </c>
      <c r="BU6" s="6" t="n">
        <v>25975</v>
      </c>
      <c r="BV6" s="6" t="n">
        <v>1371</v>
      </c>
      <c r="BW6" s="6" t="n">
        <v>814</v>
      </c>
      <c r="BX6" s="6" t="n">
        <v>0</v>
      </c>
      <c r="BY6" s="6" t="n">
        <v>19136</v>
      </c>
      <c r="BZ6" s="6" t="n">
        <v>4651</v>
      </c>
      <c r="CA6" s="6" t="n">
        <v>344615</v>
      </c>
    </row>
    <row r="7" customFormat="false" ht="15" hidden="false" customHeight="false" outlineLevel="0" collapsed="false">
      <c r="A7" s="0" t="s">
        <v>224</v>
      </c>
      <c r="B7" s="6" t="n">
        <v>37649</v>
      </c>
      <c r="C7" s="6" t="n">
        <v>2126</v>
      </c>
      <c r="D7" s="6" t="n">
        <v>16462</v>
      </c>
      <c r="E7" s="6" t="n">
        <v>2488</v>
      </c>
      <c r="F7" s="6" t="n">
        <v>1529</v>
      </c>
      <c r="G7" s="6" t="n">
        <v>5891</v>
      </c>
      <c r="H7" s="6" t="n">
        <v>4112</v>
      </c>
      <c r="I7" s="6" t="n">
        <v>268</v>
      </c>
      <c r="J7" s="6" t="n">
        <v>425</v>
      </c>
      <c r="K7" s="6" t="n">
        <v>1374</v>
      </c>
      <c r="L7" s="6" t="n">
        <v>2977</v>
      </c>
      <c r="M7" s="6" t="n">
        <v>3582</v>
      </c>
      <c r="N7" s="6" t="n">
        <v>3523</v>
      </c>
      <c r="O7" s="6" t="n">
        <v>59</v>
      </c>
      <c r="P7" s="6" t="n">
        <v>136415</v>
      </c>
      <c r="Q7" s="6" t="n">
        <v>579</v>
      </c>
      <c r="R7" s="6" t="n">
        <v>1051</v>
      </c>
      <c r="S7" s="6" t="n">
        <v>20</v>
      </c>
      <c r="T7" s="6" t="n">
        <v>2225</v>
      </c>
      <c r="U7" s="6" t="n">
        <v>183</v>
      </c>
      <c r="V7" s="6" t="n">
        <v>4844</v>
      </c>
      <c r="W7" s="6" t="n">
        <v>1717</v>
      </c>
      <c r="X7" s="6" t="n">
        <v>125211</v>
      </c>
      <c r="Y7" s="6" t="n">
        <v>584</v>
      </c>
      <c r="Z7" s="6" t="n">
        <v>126288</v>
      </c>
      <c r="AA7" s="6" t="n">
        <v>63941</v>
      </c>
      <c r="AB7" s="6" t="n">
        <v>12224</v>
      </c>
      <c r="AC7" s="6" t="n">
        <v>50124</v>
      </c>
      <c r="AD7" s="6" t="n">
        <v>647</v>
      </c>
      <c r="AE7" s="6" t="n">
        <v>359</v>
      </c>
      <c r="AF7" s="6" t="n">
        <v>243</v>
      </c>
      <c r="AG7" s="6" t="n">
        <v>47</v>
      </c>
      <c r="AH7" s="6" t="n">
        <v>11971</v>
      </c>
      <c r="AI7" s="6" t="n">
        <v>212</v>
      </c>
      <c r="AJ7" s="6" t="n">
        <v>754</v>
      </c>
      <c r="AK7" s="6" t="n">
        <v>1008</v>
      </c>
      <c r="AL7" s="6" t="n">
        <v>6249</v>
      </c>
      <c r="AM7" s="6" t="n">
        <v>1532</v>
      </c>
      <c r="AN7" s="6" t="n">
        <v>262</v>
      </c>
      <c r="AO7" s="6" t="n">
        <v>328</v>
      </c>
      <c r="AP7" s="6" t="n">
        <v>397</v>
      </c>
      <c r="AQ7" s="6" t="n">
        <v>1225</v>
      </c>
      <c r="AR7" s="6" t="n">
        <v>17567</v>
      </c>
      <c r="AS7" s="6" t="n">
        <v>141</v>
      </c>
      <c r="AT7" s="6" t="n">
        <v>325</v>
      </c>
      <c r="AU7" s="6" t="n">
        <v>108</v>
      </c>
      <c r="AV7" s="6" t="n">
        <v>1094</v>
      </c>
      <c r="AW7" s="6" t="n">
        <v>305</v>
      </c>
      <c r="AX7" s="6" t="n">
        <v>1005</v>
      </c>
      <c r="AY7" s="6" t="n">
        <v>1217</v>
      </c>
      <c r="AZ7" s="6" t="n">
        <v>11999</v>
      </c>
      <c r="BA7" s="6" t="n">
        <v>1372</v>
      </c>
      <c r="BB7" s="6" t="n">
        <v>16992</v>
      </c>
      <c r="BC7" s="6" t="n">
        <v>1064</v>
      </c>
      <c r="BD7" s="6" t="n">
        <v>1961</v>
      </c>
      <c r="BE7" s="6" t="n">
        <v>192</v>
      </c>
      <c r="BF7" s="6" t="n">
        <v>2456</v>
      </c>
      <c r="BG7" s="6" t="n">
        <v>1410</v>
      </c>
      <c r="BH7" s="6" t="n">
        <v>2657</v>
      </c>
      <c r="BI7" s="6" t="n">
        <v>2131</v>
      </c>
      <c r="BJ7" s="6" t="n">
        <v>1919</v>
      </c>
      <c r="BK7" s="6" t="n">
        <v>3208</v>
      </c>
      <c r="BL7" s="6" t="n">
        <v>8208</v>
      </c>
      <c r="BM7" s="6" t="n">
        <v>157</v>
      </c>
      <c r="BN7" s="6" t="n">
        <v>182</v>
      </c>
      <c r="BO7" s="6" t="n">
        <v>94</v>
      </c>
      <c r="BP7" s="6" t="n">
        <v>377</v>
      </c>
      <c r="BQ7" s="6" t="n">
        <v>122</v>
      </c>
      <c r="BR7" s="6" t="n">
        <v>3906</v>
      </c>
      <c r="BS7" s="6" t="n">
        <v>466</v>
      </c>
      <c r="BT7" s="6" t="n">
        <v>2901</v>
      </c>
      <c r="BU7" s="6" t="n">
        <v>30661</v>
      </c>
      <c r="BV7" s="6" t="n">
        <v>1239</v>
      </c>
      <c r="BW7" s="6" t="n">
        <v>861</v>
      </c>
      <c r="BX7" s="6" t="n">
        <v>0</v>
      </c>
      <c r="BY7" s="6" t="n">
        <v>23372</v>
      </c>
      <c r="BZ7" s="6" t="n">
        <v>5188</v>
      </c>
      <c r="CA7" s="6" t="n">
        <v>389981</v>
      </c>
    </row>
    <row r="8" customFormat="false" ht="15" hidden="false" customHeight="false" outlineLevel="0" collapsed="false">
      <c r="A8" s="0" t="s">
        <v>225</v>
      </c>
      <c r="B8" s="6" t="n">
        <v>35628</v>
      </c>
      <c r="C8" s="6" t="n">
        <v>1949</v>
      </c>
      <c r="D8" s="6" t="n">
        <v>14705</v>
      </c>
      <c r="E8" s="6" t="n">
        <v>2544</v>
      </c>
      <c r="F8" s="6" t="n">
        <v>1229</v>
      </c>
      <c r="G8" s="6" t="n">
        <v>6440</v>
      </c>
      <c r="H8" s="6" t="n">
        <v>4127</v>
      </c>
      <c r="I8" s="6" t="n">
        <v>283</v>
      </c>
      <c r="J8" s="6" t="n">
        <v>447</v>
      </c>
      <c r="K8" s="6" t="n">
        <v>1310</v>
      </c>
      <c r="L8" s="6" t="n">
        <v>2591</v>
      </c>
      <c r="M8" s="6" t="n">
        <v>3283</v>
      </c>
      <c r="N8" s="6" t="n">
        <v>3246</v>
      </c>
      <c r="O8" s="6" t="n">
        <v>37</v>
      </c>
      <c r="P8" s="6" t="n">
        <v>151968</v>
      </c>
      <c r="Q8" s="6" t="n">
        <v>414</v>
      </c>
      <c r="R8" s="6" t="n">
        <v>1183</v>
      </c>
      <c r="S8" s="6" t="n">
        <v>10</v>
      </c>
      <c r="T8" s="6" t="n">
        <v>1669</v>
      </c>
      <c r="U8" s="6" t="n">
        <v>172</v>
      </c>
      <c r="V8" s="6" t="n">
        <v>2739</v>
      </c>
      <c r="W8" s="6" t="n">
        <v>1163</v>
      </c>
      <c r="X8" s="6" t="n">
        <v>144068</v>
      </c>
      <c r="Y8" s="6" t="n">
        <v>551</v>
      </c>
      <c r="Z8" s="6" t="n">
        <v>88821</v>
      </c>
      <c r="AA8" s="6" t="n">
        <v>43367</v>
      </c>
      <c r="AB8" s="6" t="n">
        <v>7755</v>
      </c>
      <c r="AC8" s="6" t="n">
        <v>37699</v>
      </c>
      <c r="AD8" s="6" t="n">
        <v>761</v>
      </c>
      <c r="AE8" s="6" t="n">
        <v>444</v>
      </c>
      <c r="AF8" s="6" t="n">
        <v>282</v>
      </c>
      <c r="AG8" s="6" t="n">
        <v>33</v>
      </c>
      <c r="AH8" s="6" t="n">
        <v>11092</v>
      </c>
      <c r="AI8" s="6" t="n">
        <v>227</v>
      </c>
      <c r="AJ8" s="6" t="n">
        <v>641</v>
      </c>
      <c r="AK8" s="6" t="n">
        <v>894</v>
      </c>
      <c r="AL8" s="6" t="n">
        <v>5547</v>
      </c>
      <c r="AM8" s="6" t="n">
        <v>1590</v>
      </c>
      <c r="AN8" s="6" t="n">
        <v>330</v>
      </c>
      <c r="AO8" s="6" t="n">
        <v>232</v>
      </c>
      <c r="AP8" s="6" t="n">
        <v>311</v>
      </c>
      <c r="AQ8" s="6" t="n">
        <v>1325</v>
      </c>
      <c r="AR8" s="6" t="n">
        <v>14708</v>
      </c>
      <c r="AS8" s="6" t="n">
        <v>112</v>
      </c>
      <c r="AT8" s="6" t="n">
        <v>260</v>
      </c>
      <c r="AU8" s="6" t="n">
        <v>103</v>
      </c>
      <c r="AV8" s="6" t="n">
        <v>934</v>
      </c>
      <c r="AW8" s="6" t="n">
        <v>276</v>
      </c>
      <c r="AX8" s="6" t="n">
        <v>736</v>
      </c>
      <c r="AY8" s="6" t="n">
        <v>920</v>
      </c>
      <c r="AZ8" s="6" t="n">
        <v>10215</v>
      </c>
      <c r="BA8" s="6" t="n">
        <v>1154</v>
      </c>
      <c r="BB8" s="6" t="n">
        <v>14678</v>
      </c>
      <c r="BC8" s="6" t="n">
        <v>1068</v>
      </c>
      <c r="BD8" s="6" t="n">
        <v>1769</v>
      </c>
      <c r="BE8" s="6" t="n">
        <v>138</v>
      </c>
      <c r="BF8" s="6" t="n">
        <v>2164</v>
      </c>
      <c r="BG8" s="6" t="n">
        <v>1300</v>
      </c>
      <c r="BH8" s="6" t="n">
        <v>2251</v>
      </c>
      <c r="BI8" s="6" t="n">
        <v>2006</v>
      </c>
      <c r="BJ8" s="6" t="n">
        <v>1598</v>
      </c>
      <c r="BK8" s="6" t="n">
        <v>2387</v>
      </c>
      <c r="BL8" s="6" t="n">
        <v>7376</v>
      </c>
      <c r="BM8" s="6" t="n">
        <v>161</v>
      </c>
      <c r="BN8" s="6" t="n">
        <v>136</v>
      </c>
      <c r="BO8" s="6" t="n">
        <v>112</v>
      </c>
      <c r="BP8" s="6" t="n">
        <v>387</v>
      </c>
      <c r="BQ8" s="6" t="n">
        <v>129</v>
      </c>
      <c r="BR8" s="6" t="n">
        <v>3526</v>
      </c>
      <c r="BS8" s="6" t="n">
        <v>432</v>
      </c>
      <c r="BT8" s="6" t="n">
        <v>2494</v>
      </c>
      <c r="BU8" s="6" t="n">
        <v>34408</v>
      </c>
      <c r="BV8" s="6" t="n">
        <v>1063</v>
      </c>
      <c r="BW8" s="6" t="n">
        <v>1303</v>
      </c>
      <c r="BX8" s="6" t="n">
        <v>2</v>
      </c>
      <c r="BY8" s="6" t="n">
        <v>25492</v>
      </c>
      <c r="BZ8" s="6" t="n">
        <v>6551</v>
      </c>
      <c r="CA8" s="6" t="n">
        <v>362728</v>
      </c>
    </row>
    <row r="9" customFormat="false" ht="15" hidden="false" customHeight="false" outlineLevel="0" collapsed="false">
      <c r="A9" s="0" t="s">
        <v>226</v>
      </c>
      <c r="B9" s="6" t="n">
        <v>43540</v>
      </c>
      <c r="C9" s="6" t="n">
        <v>1646</v>
      </c>
      <c r="D9" s="6" t="n">
        <v>14801</v>
      </c>
      <c r="E9" s="6" t="n">
        <v>2947</v>
      </c>
      <c r="F9" s="6" t="n">
        <v>1207</v>
      </c>
      <c r="G9" s="6" t="n">
        <v>14105</v>
      </c>
      <c r="H9" s="6" t="n">
        <v>4512</v>
      </c>
      <c r="I9" s="6" t="n">
        <v>318</v>
      </c>
      <c r="J9" s="6" t="n">
        <v>476</v>
      </c>
      <c r="K9" s="6" t="n">
        <v>1424</v>
      </c>
      <c r="L9" s="6" t="n">
        <v>2105</v>
      </c>
      <c r="M9" s="6" t="n">
        <v>2523</v>
      </c>
      <c r="N9" s="6" t="n">
        <v>2503</v>
      </c>
      <c r="O9" s="6" t="n">
        <v>21</v>
      </c>
      <c r="P9" s="6" t="n">
        <v>198179</v>
      </c>
      <c r="Q9" s="6" t="n">
        <v>504</v>
      </c>
      <c r="R9" s="6" t="n">
        <v>3166</v>
      </c>
      <c r="S9" s="6" t="n">
        <v>11</v>
      </c>
      <c r="T9" s="6" t="n">
        <v>1338</v>
      </c>
      <c r="U9" s="6" t="n">
        <v>266</v>
      </c>
      <c r="V9" s="6" t="n">
        <v>5081</v>
      </c>
      <c r="W9" s="6" t="n">
        <v>1948</v>
      </c>
      <c r="X9" s="6" t="n">
        <v>185259</v>
      </c>
      <c r="Y9" s="6" t="n">
        <v>613</v>
      </c>
      <c r="Z9" s="6" t="n">
        <v>126395</v>
      </c>
      <c r="AA9" s="6" t="n">
        <v>63504</v>
      </c>
      <c r="AB9" s="6" t="n">
        <v>11715</v>
      </c>
      <c r="AC9" s="6" t="n">
        <v>51179</v>
      </c>
      <c r="AD9" s="6" t="n">
        <v>1085</v>
      </c>
      <c r="AE9" s="6" t="n">
        <v>669</v>
      </c>
      <c r="AF9" s="6" t="n">
        <v>360</v>
      </c>
      <c r="AG9" s="6" t="n">
        <v>54</v>
      </c>
      <c r="AH9" s="6" t="n">
        <v>10052</v>
      </c>
      <c r="AI9" s="6" t="n">
        <v>239</v>
      </c>
      <c r="AJ9" s="6" t="n">
        <v>808</v>
      </c>
      <c r="AK9" s="6" t="n">
        <v>1036</v>
      </c>
      <c r="AL9" s="6" t="n">
        <v>3630</v>
      </c>
      <c r="AM9" s="6" t="n">
        <v>1663</v>
      </c>
      <c r="AN9" s="6" t="n">
        <v>490</v>
      </c>
      <c r="AO9" s="6" t="n">
        <v>368</v>
      </c>
      <c r="AP9" s="6" t="n">
        <v>345</v>
      </c>
      <c r="AQ9" s="6" t="n">
        <v>1474</v>
      </c>
      <c r="AR9" s="6" t="n">
        <v>16703</v>
      </c>
      <c r="AS9" s="6" t="n">
        <v>160</v>
      </c>
      <c r="AT9" s="6" t="n">
        <v>257</v>
      </c>
      <c r="AU9" s="6" t="n">
        <v>96</v>
      </c>
      <c r="AV9" s="6" t="n">
        <v>948</v>
      </c>
      <c r="AW9" s="6" t="n">
        <v>333</v>
      </c>
      <c r="AX9" s="6" t="n">
        <v>570</v>
      </c>
      <c r="AY9" s="6" t="n">
        <v>793</v>
      </c>
      <c r="AZ9" s="6" t="n">
        <v>12328</v>
      </c>
      <c r="BA9" s="6" t="n">
        <v>1220</v>
      </c>
      <c r="BB9" s="6" t="n">
        <v>14728</v>
      </c>
      <c r="BC9" s="6" t="n">
        <v>872</v>
      </c>
      <c r="BD9" s="6" t="n">
        <v>1678</v>
      </c>
      <c r="BE9" s="6" t="n">
        <v>175</v>
      </c>
      <c r="BF9" s="6" t="n">
        <v>2230</v>
      </c>
      <c r="BG9" s="6" t="n">
        <v>1376</v>
      </c>
      <c r="BH9" s="6" t="n">
        <v>2331</v>
      </c>
      <c r="BI9" s="6" t="n">
        <v>2227</v>
      </c>
      <c r="BJ9" s="6" t="n">
        <v>1853</v>
      </c>
      <c r="BK9" s="6" t="n">
        <v>1988</v>
      </c>
      <c r="BL9" s="6" t="n">
        <v>8036</v>
      </c>
      <c r="BM9" s="6" t="n">
        <v>203</v>
      </c>
      <c r="BN9" s="6" t="n">
        <v>145</v>
      </c>
      <c r="BO9" s="6" t="n">
        <v>116</v>
      </c>
      <c r="BP9" s="6" t="n">
        <v>480</v>
      </c>
      <c r="BQ9" s="6" t="n">
        <v>119</v>
      </c>
      <c r="BR9" s="6" t="n">
        <v>3875</v>
      </c>
      <c r="BS9" s="6" t="n">
        <v>453</v>
      </c>
      <c r="BT9" s="6" t="n">
        <v>2646</v>
      </c>
      <c r="BU9" s="6" t="n">
        <v>36933</v>
      </c>
      <c r="BV9" s="6" t="n">
        <v>1789</v>
      </c>
      <c r="BW9" s="6" t="n">
        <v>2576</v>
      </c>
      <c r="BX9" s="6" t="n">
        <v>2</v>
      </c>
      <c r="BY9" s="6" t="n">
        <v>23281</v>
      </c>
      <c r="BZ9" s="6" t="n">
        <v>9283</v>
      </c>
      <c r="CA9" s="6" t="n">
        <v>458168</v>
      </c>
    </row>
    <row r="10" customFormat="false" ht="15" hidden="false" customHeight="false" outlineLevel="0" collapsed="false">
      <c r="A10" s="0" t="s">
        <v>227</v>
      </c>
      <c r="B10" s="6" t="n">
        <v>53122</v>
      </c>
      <c r="C10" s="6" t="n">
        <v>1518</v>
      </c>
      <c r="D10" s="6" t="n">
        <v>16600</v>
      </c>
      <c r="E10" s="6" t="n">
        <v>3385</v>
      </c>
      <c r="F10" s="6" t="n">
        <v>1205</v>
      </c>
      <c r="G10" s="6" t="n">
        <v>20672</v>
      </c>
      <c r="H10" s="6" t="n">
        <v>5027</v>
      </c>
      <c r="I10" s="6" t="n">
        <v>321</v>
      </c>
      <c r="J10" s="6" t="n">
        <v>517</v>
      </c>
      <c r="K10" s="6" t="n">
        <v>1719</v>
      </c>
      <c r="L10" s="6" t="n">
        <v>2160</v>
      </c>
      <c r="M10" s="6" t="n">
        <v>2572</v>
      </c>
      <c r="N10" s="6" t="n">
        <v>2553</v>
      </c>
      <c r="O10" s="6" t="n">
        <v>19</v>
      </c>
      <c r="P10" s="6" t="n">
        <v>188296</v>
      </c>
      <c r="Q10" s="6" t="n">
        <v>454</v>
      </c>
      <c r="R10" s="6" t="n">
        <v>7762</v>
      </c>
      <c r="S10" s="6" t="n">
        <v>9</v>
      </c>
      <c r="T10" s="6" t="n">
        <v>1523</v>
      </c>
      <c r="U10" s="6" t="n">
        <v>307</v>
      </c>
      <c r="V10" s="6" t="n">
        <v>7710</v>
      </c>
      <c r="W10" s="6" t="n">
        <v>12384</v>
      </c>
      <c r="X10" s="6" t="n">
        <v>157451</v>
      </c>
      <c r="Y10" s="6" t="n">
        <v>692</v>
      </c>
      <c r="Z10" s="6" t="n">
        <v>251334</v>
      </c>
      <c r="AA10" s="6" t="n">
        <v>142345</v>
      </c>
      <c r="AB10" s="6" t="n">
        <v>17341</v>
      </c>
      <c r="AC10" s="6" t="n">
        <v>91648</v>
      </c>
      <c r="AD10" s="6" t="n">
        <v>1682</v>
      </c>
      <c r="AE10" s="6" t="n">
        <v>1080</v>
      </c>
      <c r="AF10" s="6" t="n">
        <v>538</v>
      </c>
      <c r="AG10" s="6" t="n">
        <v>64</v>
      </c>
      <c r="AH10" s="6" t="n">
        <v>12575</v>
      </c>
      <c r="AI10" s="6" t="n">
        <v>245</v>
      </c>
      <c r="AJ10" s="6" t="n">
        <v>1675</v>
      </c>
      <c r="AK10" s="6" t="n">
        <v>1068</v>
      </c>
      <c r="AL10" s="6" t="n">
        <v>4328</v>
      </c>
      <c r="AM10" s="6" t="n">
        <v>1768</v>
      </c>
      <c r="AN10" s="6" t="n">
        <v>731</v>
      </c>
      <c r="AO10" s="6" t="n">
        <v>303</v>
      </c>
      <c r="AP10" s="6" t="n">
        <v>451</v>
      </c>
      <c r="AQ10" s="6" t="n">
        <v>2007</v>
      </c>
      <c r="AR10" s="6" t="n">
        <v>19431</v>
      </c>
      <c r="AS10" s="6" t="n">
        <v>148</v>
      </c>
      <c r="AT10" s="6" t="n">
        <v>363</v>
      </c>
      <c r="AU10" s="6" t="n">
        <v>96</v>
      </c>
      <c r="AV10" s="6" t="n">
        <v>1014</v>
      </c>
      <c r="AW10" s="6" t="n">
        <v>356</v>
      </c>
      <c r="AX10" s="6" t="n">
        <v>604</v>
      </c>
      <c r="AY10" s="6" t="n">
        <v>1340</v>
      </c>
      <c r="AZ10" s="6" t="n">
        <v>14078</v>
      </c>
      <c r="BA10" s="6" t="n">
        <v>1430</v>
      </c>
      <c r="BB10" s="6" t="n">
        <v>16516</v>
      </c>
      <c r="BC10" s="6" t="n">
        <v>1027</v>
      </c>
      <c r="BD10" s="6" t="n">
        <v>1911</v>
      </c>
      <c r="BE10" s="6" t="n">
        <v>260</v>
      </c>
      <c r="BF10" s="6" t="n">
        <v>2489</v>
      </c>
      <c r="BG10" s="6" t="n">
        <v>1545</v>
      </c>
      <c r="BH10" s="6" t="n">
        <v>2337</v>
      </c>
      <c r="BI10" s="6" t="n">
        <v>2692</v>
      </c>
      <c r="BJ10" s="6" t="n">
        <v>2013</v>
      </c>
      <c r="BK10" s="6" t="n">
        <v>2245</v>
      </c>
      <c r="BL10" s="6" t="n">
        <v>9077</v>
      </c>
      <c r="BM10" s="6" t="n">
        <v>175</v>
      </c>
      <c r="BN10" s="6" t="n">
        <v>166</v>
      </c>
      <c r="BO10" s="6" t="n">
        <v>201</v>
      </c>
      <c r="BP10" s="6" t="n">
        <v>649</v>
      </c>
      <c r="BQ10" s="6" t="n">
        <v>141</v>
      </c>
      <c r="BR10" s="6" t="n">
        <v>4409</v>
      </c>
      <c r="BS10" s="6" t="n">
        <v>506</v>
      </c>
      <c r="BT10" s="6" t="n">
        <v>2834</v>
      </c>
      <c r="BU10" s="6" t="n">
        <v>39255</v>
      </c>
      <c r="BV10" s="6" t="n">
        <v>764</v>
      </c>
      <c r="BW10" s="6" t="n">
        <v>3046</v>
      </c>
      <c r="BX10" s="6" t="n">
        <v>9</v>
      </c>
      <c r="BY10" s="6" t="n">
        <v>23514</v>
      </c>
      <c r="BZ10" s="6" t="n">
        <v>11921</v>
      </c>
      <c r="CA10" s="6" t="n">
        <v>593865</v>
      </c>
    </row>
    <row r="11" customFormat="false" ht="15" hidden="false" customHeight="false" outlineLevel="0" collapsed="false">
      <c r="A11" s="0" t="s">
        <v>228</v>
      </c>
      <c r="B11" s="6" t="n">
        <v>54749</v>
      </c>
      <c r="C11" s="6" t="n">
        <v>1236</v>
      </c>
      <c r="D11" s="6" t="n">
        <v>17798</v>
      </c>
      <c r="E11" s="6" t="n">
        <v>3000</v>
      </c>
      <c r="F11" s="6" t="n">
        <v>1346</v>
      </c>
      <c r="G11" s="6" t="n">
        <v>20628</v>
      </c>
      <c r="H11" s="6" t="n">
        <v>5891</v>
      </c>
      <c r="I11" s="6" t="n">
        <v>297</v>
      </c>
      <c r="J11" s="6" t="n">
        <v>509</v>
      </c>
      <c r="K11" s="6" t="n">
        <v>1737</v>
      </c>
      <c r="L11" s="6" t="n">
        <v>2314</v>
      </c>
      <c r="M11" s="6" t="n">
        <v>2548</v>
      </c>
      <c r="N11" s="6" t="n">
        <v>2524</v>
      </c>
      <c r="O11" s="6" t="n">
        <v>24</v>
      </c>
      <c r="P11" s="6" t="n">
        <v>202961</v>
      </c>
      <c r="Q11" s="6" t="n">
        <v>451</v>
      </c>
      <c r="R11" s="6" t="n">
        <v>5508</v>
      </c>
      <c r="S11" s="6" t="n">
        <v>14</v>
      </c>
      <c r="T11" s="6" t="n">
        <v>1435</v>
      </c>
      <c r="U11" s="6" t="n">
        <v>203</v>
      </c>
      <c r="V11" s="6" t="n">
        <v>7407</v>
      </c>
      <c r="W11" s="6" t="n">
        <v>19055</v>
      </c>
      <c r="X11" s="6" t="n">
        <v>168243</v>
      </c>
      <c r="Y11" s="6" t="n">
        <v>650</v>
      </c>
      <c r="Z11" s="6" t="n">
        <v>195549</v>
      </c>
      <c r="AA11" s="6" t="n">
        <v>103331</v>
      </c>
      <c r="AB11" s="6" t="n">
        <v>15760</v>
      </c>
      <c r="AC11" s="6" t="n">
        <v>76456</v>
      </c>
      <c r="AD11" s="6" t="n">
        <v>1609</v>
      </c>
      <c r="AE11" s="6" t="n">
        <v>1053</v>
      </c>
      <c r="AF11" s="6" t="n">
        <v>420</v>
      </c>
      <c r="AG11" s="6" t="n">
        <v>136</v>
      </c>
      <c r="AH11" s="6" t="n">
        <v>11484</v>
      </c>
      <c r="AI11" s="6" t="n">
        <v>221</v>
      </c>
      <c r="AJ11" s="6" t="n">
        <v>1264</v>
      </c>
      <c r="AK11" s="6" t="n">
        <v>920</v>
      </c>
      <c r="AL11" s="6" t="n">
        <v>4754</v>
      </c>
      <c r="AM11" s="6" t="n">
        <v>1686</v>
      </c>
      <c r="AN11" s="6" t="n">
        <v>338</v>
      </c>
      <c r="AO11" s="6" t="n">
        <v>277</v>
      </c>
      <c r="AP11" s="6" t="n">
        <v>385</v>
      </c>
      <c r="AQ11" s="6" t="n">
        <v>1643</v>
      </c>
      <c r="AR11" s="6" t="n">
        <v>19357</v>
      </c>
      <c r="AS11" s="6" t="n">
        <v>109</v>
      </c>
      <c r="AT11" s="6" t="n">
        <v>397</v>
      </c>
      <c r="AU11" s="6" t="n">
        <v>98</v>
      </c>
      <c r="AV11" s="6" t="n">
        <v>888</v>
      </c>
      <c r="AW11" s="6" t="n">
        <v>364</v>
      </c>
      <c r="AX11" s="6" t="n">
        <v>854</v>
      </c>
      <c r="AY11" s="6" t="n">
        <v>1256</v>
      </c>
      <c r="AZ11" s="6" t="n">
        <v>13950</v>
      </c>
      <c r="BA11" s="6" t="n">
        <v>1442</v>
      </c>
      <c r="BB11" s="6" t="n">
        <v>18604</v>
      </c>
      <c r="BC11" s="6" t="n">
        <v>1303</v>
      </c>
      <c r="BD11" s="6" t="n">
        <v>2113</v>
      </c>
      <c r="BE11" s="6" t="n">
        <v>272</v>
      </c>
      <c r="BF11" s="6" t="n">
        <v>3044</v>
      </c>
      <c r="BG11" s="6" t="n">
        <v>1489</v>
      </c>
      <c r="BH11" s="6" t="n">
        <v>2677</v>
      </c>
      <c r="BI11" s="6" t="n">
        <v>2954</v>
      </c>
      <c r="BJ11" s="6" t="n">
        <v>2180</v>
      </c>
      <c r="BK11" s="6" t="n">
        <v>2574</v>
      </c>
      <c r="BL11" s="6" t="n">
        <v>10517</v>
      </c>
      <c r="BM11" s="6" t="n">
        <v>170</v>
      </c>
      <c r="BN11" s="6" t="n">
        <v>188</v>
      </c>
      <c r="BO11" s="6" t="n">
        <v>188</v>
      </c>
      <c r="BP11" s="6" t="n">
        <v>706</v>
      </c>
      <c r="BQ11" s="6" t="n">
        <v>181</v>
      </c>
      <c r="BR11" s="6" t="n">
        <v>4871</v>
      </c>
      <c r="BS11" s="6" t="n">
        <v>576</v>
      </c>
      <c r="BT11" s="6" t="n">
        <v>3636</v>
      </c>
      <c r="BU11" s="6" t="n">
        <v>41247</v>
      </c>
      <c r="BV11" s="6" t="n">
        <v>612</v>
      </c>
      <c r="BW11" s="6" t="n">
        <v>2011</v>
      </c>
      <c r="BX11" s="6" t="n">
        <v>11</v>
      </c>
      <c r="BY11" s="6" t="n">
        <v>28352</v>
      </c>
      <c r="BZ11" s="6" t="n">
        <v>10257</v>
      </c>
      <c r="CA11" s="6" t="n">
        <v>558623</v>
      </c>
    </row>
    <row r="12" customFormat="false" ht="15" hidden="false" customHeight="false" outlineLevel="0" collapsed="false">
      <c r="A12" s="0" t="s">
        <v>229</v>
      </c>
      <c r="B12" s="6" t="n">
        <v>52562</v>
      </c>
      <c r="C12" s="6" t="n">
        <v>1117</v>
      </c>
      <c r="D12" s="6" t="n">
        <v>21317</v>
      </c>
      <c r="E12" s="6" t="n">
        <v>3425</v>
      </c>
      <c r="F12" s="6" t="n">
        <v>1219</v>
      </c>
      <c r="G12" s="6" t="n">
        <v>13747</v>
      </c>
      <c r="H12" s="6" t="n">
        <v>7067</v>
      </c>
      <c r="I12" s="6" t="n">
        <v>298</v>
      </c>
      <c r="J12" s="6" t="n">
        <v>549</v>
      </c>
      <c r="K12" s="6" t="n">
        <v>1573</v>
      </c>
      <c r="L12" s="6" t="n">
        <v>2253</v>
      </c>
      <c r="M12" s="6" t="n">
        <v>3179</v>
      </c>
      <c r="N12" s="6" t="n">
        <v>3159</v>
      </c>
      <c r="O12" s="6" t="n">
        <v>20</v>
      </c>
      <c r="P12" s="6" t="n">
        <v>179588</v>
      </c>
      <c r="Q12" s="6" t="n">
        <v>532</v>
      </c>
      <c r="R12" s="6" t="n">
        <v>5005</v>
      </c>
      <c r="S12" s="6" t="n">
        <v>20</v>
      </c>
      <c r="T12" s="6" t="n">
        <v>1424</v>
      </c>
      <c r="U12" s="6" t="n">
        <v>242</v>
      </c>
      <c r="V12" s="6" t="n">
        <v>6498</v>
      </c>
      <c r="W12" s="6" t="n">
        <v>5137</v>
      </c>
      <c r="X12" s="6" t="n">
        <v>160100</v>
      </c>
      <c r="Y12" s="6" t="n">
        <v>635</v>
      </c>
      <c r="Z12" s="6" t="n">
        <v>170842</v>
      </c>
      <c r="AA12" s="6" t="n">
        <v>85445</v>
      </c>
      <c r="AB12" s="6" t="n">
        <v>15713</v>
      </c>
      <c r="AC12" s="6" t="n">
        <v>69682</v>
      </c>
      <c r="AD12" s="6" t="n">
        <v>1397</v>
      </c>
      <c r="AE12" s="6" t="n">
        <v>865</v>
      </c>
      <c r="AF12" s="6" t="n">
        <v>416</v>
      </c>
      <c r="AG12" s="6" t="n">
        <v>118</v>
      </c>
      <c r="AH12" s="6" t="n">
        <v>12272</v>
      </c>
      <c r="AI12" s="6" t="n">
        <v>215</v>
      </c>
      <c r="AJ12" s="6" t="n">
        <v>946</v>
      </c>
      <c r="AK12" s="6" t="n">
        <v>1162</v>
      </c>
      <c r="AL12" s="6" t="n">
        <v>5387</v>
      </c>
      <c r="AM12" s="6" t="n">
        <v>1705</v>
      </c>
      <c r="AN12" s="6" t="n">
        <v>437</v>
      </c>
      <c r="AO12" s="6" t="n">
        <v>294</v>
      </c>
      <c r="AP12" s="6" t="n">
        <v>412</v>
      </c>
      <c r="AQ12" s="6" t="n">
        <v>1718</v>
      </c>
      <c r="AR12" s="6" t="n">
        <v>20515</v>
      </c>
      <c r="AS12" s="6" t="n">
        <v>112</v>
      </c>
      <c r="AT12" s="6" t="n">
        <v>331</v>
      </c>
      <c r="AU12" s="6" t="n">
        <v>97</v>
      </c>
      <c r="AV12" s="6" t="n">
        <v>891</v>
      </c>
      <c r="AW12" s="6" t="n">
        <v>392</v>
      </c>
      <c r="AX12" s="6" t="n">
        <v>590</v>
      </c>
      <c r="AY12" s="6" t="n">
        <v>1332</v>
      </c>
      <c r="AZ12" s="6" t="n">
        <v>15294</v>
      </c>
      <c r="BA12" s="6" t="n">
        <v>1476</v>
      </c>
      <c r="BB12" s="6" t="n">
        <v>20484</v>
      </c>
      <c r="BC12" s="6" t="n">
        <v>1377</v>
      </c>
      <c r="BD12" s="6" t="n">
        <v>2346</v>
      </c>
      <c r="BE12" s="6" t="n">
        <v>286</v>
      </c>
      <c r="BF12" s="6" t="n">
        <v>3125</v>
      </c>
      <c r="BG12" s="6" t="n">
        <v>1580</v>
      </c>
      <c r="BH12" s="6" t="n">
        <v>2923</v>
      </c>
      <c r="BI12" s="6" t="n">
        <v>3219</v>
      </c>
      <c r="BJ12" s="6" t="n">
        <v>2259</v>
      </c>
      <c r="BK12" s="6" t="n">
        <v>3377</v>
      </c>
      <c r="BL12" s="6" t="n">
        <v>10974</v>
      </c>
      <c r="BM12" s="6" t="n">
        <v>191</v>
      </c>
      <c r="BN12" s="6" t="n">
        <v>169</v>
      </c>
      <c r="BO12" s="6" t="n">
        <v>178</v>
      </c>
      <c r="BP12" s="6" t="n">
        <v>773</v>
      </c>
      <c r="BQ12" s="6" t="n">
        <v>191</v>
      </c>
      <c r="BR12" s="6" t="n">
        <v>4081</v>
      </c>
      <c r="BS12" s="6" t="n">
        <v>611</v>
      </c>
      <c r="BT12" s="6" t="n">
        <v>4777</v>
      </c>
      <c r="BU12" s="6" t="n">
        <v>45169</v>
      </c>
      <c r="BV12" s="6" t="n">
        <v>565</v>
      </c>
      <c r="BW12" s="6" t="n">
        <v>1340</v>
      </c>
      <c r="BX12" s="6" t="n">
        <v>23</v>
      </c>
      <c r="BY12" s="6" t="n">
        <v>35703</v>
      </c>
      <c r="BZ12" s="6" t="n">
        <v>7536</v>
      </c>
      <c r="CA12" s="6" t="n">
        <v>516983</v>
      </c>
    </row>
    <row r="13" customFormat="false" ht="15" hidden="false" customHeight="false" outlineLevel="0" collapsed="false">
      <c r="A13" s="0" t="s">
        <v>230</v>
      </c>
      <c r="B13" s="6" t="n">
        <v>62043</v>
      </c>
      <c r="C13" s="6" t="n">
        <v>1299</v>
      </c>
      <c r="D13" s="6" t="n">
        <v>27217</v>
      </c>
      <c r="E13" s="6" t="n">
        <v>3562</v>
      </c>
      <c r="F13" s="6" t="n">
        <v>1588</v>
      </c>
      <c r="G13" s="6" t="n">
        <v>16169</v>
      </c>
      <c r="H13" s="6" t="n">
        <v>7282</v>
      </c>
      <c r="I13" s="6" t="n">
        <v>263</v>
      </c>
      <c r="J13" s="6" t="n">
        <v>632</v>
      </c>
      <c r="K13" s="6" t="n">
        <v>1582</v>
      </c>
      <c r="L13" s="6" t="n">
        <v>2448</v>
      </c>
      <c r="M13" s="6" t="n">
        <v>3066</v>
      </c>
      <c r="N13" s="6" t="n">
        <v>3009</v>
      </c>
      <c r="O13" s="6" t="n">
        <v>58</v>
      </c>
      <c r="P13" s="6" t="n">
        <v>180651</v>
      </c>
      <c r="Q13" s="6" t="n">
        <v>546</v>
      </c>
      <c r="R13" s="6" t="n">
        <v>4616</v>
      </c>
      <c r="S13" s="6" t="n">
        <v>30</v>
      </c>
      <c r="T13" s="6" t="n">
        <v>1521</v>
      </c>
      <c r="U13" s="6" t="n">
        <v>274</v>
      </c>
      <c r="V13" s="6" t="n">
        <v>6053</v>
      </c>
      <c r="W13" s="6" t="n">
        <v>4863</v>
      </c>
      <c r="X13" s="6" t="n">
        <v>162034</v>
      </c>
      <c r="Y13" s="6" t="n">
        <v>711</v>
      </c>
      <c r="Z13" s="6" t="n">
        <v>140181</v>
      </c>
      <c r="AA13" s="6" t="n">
        <v>64478</v>
      </c>
      <c r="AB13" s="6" t="n">
        <v>14187</v>
      </c>
      <c r="AC13" s="6" t="n">
        <v>61513</v>
      </c>
      <c r="AD13" s="6" t="n">
        <v>1806</v>
      </c>
      <c r="AE13" s="6" t="n">
        <v>823</v>
      </c>
      <c r="AF13" s="6" t="n">
        <v>529</v>
      </c>
      <c r="AG13" s="6" t="n">
        <v>455</v>
      </c>
      <c r="AH13" s="6" t="n">
        <v>12141</v>
      </c>
      <c r="AI13" s="6" t="n">
        <v>251</v>
      </c>
      <c r="AJ13" s="6" t="n">
        <v>1050</v>
      </c>
      <c r="AK13" s="6" t="n">
        <v>1053</v>
      </c>
      <c r="AL13" s="6" t="n">
        <v>5138</v>
      </c>
      <c r="AM13" s="6" t="n">
        <v>1615</v>
      </c>
      <c r="AN13" s="6" t="n">
        <v>666</v>
      </c>
      <c r="AO13" s="6" t="n">
        <v>281</v>
      </c>
      <c r="AP13" s="6" t="n">
        <v>423</v>
      </c>
      <c r="AQ13" s="6" t="n">
        <v>1661</v>
      </c>
      <c r="AR13" s="6" t="n">
        <v>22719</v>
      </c>
      <c r="AS13" s="6" t="n">
        <v>108</v>
      </c>
      <c r="AT13" s="6" t="n">
        <v>345</v>
      </c>
      <c r="AU13" s="6" t="n">
        <v>77</v>
      </c>
      <c r="AV13" s="6" t="n">
        <v>871</v>
      </c>
      <c r="AW13" s="6" t="n">
        <v>375</v>
      </c>
      <c r="AX13" s="6" t="n">
        <v>480</v>
      </c>
      <c r="AY13" s="6" t="n">
        <v>1054</v>
      </c>
      <c r="AZ13" s="6" t="n">
        <v>17943</v>
      </c>
      <c r="BA13" s="6" t="n">
        <v>1465</v>
      </c>
      <c r="BB13" s="6" t="n">
        <v>22210</v>
      </c>
      <c r="BC13" s="6" t="n">
        <v>1598</v>
      </c>
      <c r="BD13" s="6" t="n">
        <v>2416</v>
      </c>
      <c r="BE13" s="6" t="n">
        <v>248</v>
      </c>
      <c r="BF13" s="6" t="n">
        <v>3253</v>
      </c>
      <c r="BG13" s="6" t="n">
        <v>1888</v>
      </c>
      <c r="BH13" s="6" t="n">
        <v>3236</v>
      </c>
      <c r="BI13" s="6" t="n">
        <v>3266</v>
      </c>
      <c r="BJ13" s="6" t="n">
        <v>2624</v>
      </c>
      <c r="BK13" s="6" t="n">
        <v>3685</v>
      </c>
      <c r="BL13" s="6" t="n">
        <v>11863</v>
      </c>
      <c r="BM13" s="6" t="n">
        <v>190</v>
      </c>
      <c r="BN13" s="6" t="n">
        <v>173</v>
      </c>
      <c r="BO13" s="6" t="n">
        <v>183</v>
      </c>
      <c r="BP13" s="6" t="n">
        <v>774</v>
      </c>
      <c r="BQ13" s="6" t="n">
        <v>187</v>
      </c>
      <c r="BR13" s="6" t="n">
        <v>4293</v>
      </c>
      <c r="BS13" s="6" t="n">
        <v>659</v>
      </c>
      <c r="BT13" s="6" t="n">
        <v>5399</v>
      </c>
      <c r="BU13" s="6" t="n">
        <v>66414</v>
      </c>
      <c r="BV13" s="6" t="n">
        <v>439</v>
      </c>
      <c r="BW13" s="6" t="n">
        <v>1873</v>
      </c>
      <c r="BX13" s="6" t="n">
        <v>17</v>
      </c>
      <c r="BY13" s="6" t="n">
        <v>59557</v>
      </c>
      <c r="BZ13" s="6" t="n">
        <v>4530</v>
      </c>
      <c r="CA13" s="6" t="n">
        <v>523098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12"/>
  </cols>
  <sheetData>
    <row r="1" customFormat="false" ht="471.6" hidden="false" customHeight="false" outlineLevel="0" collapsed="false">
      <c r="A1" s="5" t="s">
        <v>231</v>
      </c>
      <c r="B1" s="5" t="s">
        <v>62</v>
      </c>
      <c r="C1" s="5" t="s">
        <v>63</v>
      </c>
      <c r="D1" s="5" t="s">
        <v>64</v>
      </c>
      <c r="E1" s="5" t="s">
        <v>65</v>
      </c>
      <c r="F1" s="5" t="s">
        <v>66</v>
      </c>
      <c r="G1" s="5" t="s">
        <v>67</v>
      </c>
      <c r="H1" s="5" t="s">
        <v>68</v>
      </c>
      <c r="I1" s="5" t="s">
        <v>69</v>
      </c>
      <c r="J1" s="5" t="s">
        <v>70</v>
      </c>
      <c r="K1" s="5" t="s">
        <v>71</v>
      </c>
      <c r="L1" s="5" t="s">
        <v>72</v>
      </c>
      <c r="M1" s="5" t="s">
        <v>73</v>
      </c>
      <c r="N1" s="5" t="s">
        <v>74</v>
      </c>
      <c r="O1" s="5" t="s">
        <v>75</v>
      </c>
      <c r="P1" s="5" t="s">
        <v>76</v>
      </c>
      <c r="Q1" s="5" t="s">
        <v>77</v>
      </c>
      <c r="R1" s="5" t="s">
        <v>78</v>
      </c>
      <c r="S1" s="5" t="s">
        <v>79</v>
      </c>
      <c r="T1" s="5" t="s">
        <v>80</v>
      </c>
      <c r="U1" s="5" t="s">
        <v>81</v>
      </c>
      <c r="V1" s="5" t="s">
        <v>82</v>
      </c>
      <c r="W1" s="5" t="s">
        <v>83</v>
      </c>
      <c r="X1" s="5" t="s">
        <v>84</v>
      </c>
      <c r="Y1" s="5" t="s">
        <v>85</v>
      </c>
      <c r="Z1" s="5" t="s">
        <v>86</v>
      </c>
      <c r="AA1" s="5" t="s">
        <v>87</v>
      </c>
      <c r="AB1" s="5" t="s">
        <v>88</v>
      </c>
      <c r="AC1" s="5" t="s">
        <v>89</v>
      </c>
      <c r="AD1" s="5" t="s">
        <v>90</v>
      </c>
      <c r="AE1" s="5" t="s">
        <v>91</v>
      </c>
      <c r="AF1" s="5" t="s">
        <v>92</v>
      </c>
      <c r="AG1" s="5" t="s">
        <v>93</v>
      </c>
      <c r="AH1" s="5" t="s">
        <v>94</v>
      </c>
      <c r="AI1" s="5" t="s">
        <v>95</v>
      </c>
      <c r="AJ1" s="5" t="s">
        <v>96</v>
      </c>
      <c r="AK1" s="5" t="s">
        <v>97</v>
      </c>
      <c r="AL1" s="5" t="s">
        <v>98</v>
      </c>
      <c r="AM1" s="5" t="s">
        <v>99</v>
      </c>
      <c r="AN1" s="5" t="s">
        <v>100</v>
      </c>
      <c r="AO1" s="5" t="s">
        <v>101</v>
      </c>
      <c r="AP1" s="5" t="s">
        <v>102</v>
      </c>
      <c r="AQ1" s="5" t="s">
        <v>103</v>
      </c>
      <c r="AR1" s="5" t="s">
        <v>104</v>
      </c>
      <c r="AS1" s="5" t="s">
        <v>105</v>
      </c>
      <c r="AT1" s="5" t="s">
        <v>106</v>
      </c>
      <c r="AU1" s="5" t="s">
        <v>107</v>
      </c>
      <c r="AV1" s="5" t="s">
        <v>108</v>
      </c>
      <c r="AW1" s="5" t="s">
        <v>109</v>
      </c>
      <c r="AX1" s="5" t="s">
        <v>110</v>
      </c>
      <c r="AY1" s="5" t="s">
        <v>111</v>
      </c>
      <c r="AZ1" s="5" t="s">
        <v>112</v>
      </c>
      <c r="BA1" s="5" t="s">
        <v>113</v>
      </c>
      <c r="BB1" s="5" t="s">
        <v>114</v>
      </c>
      <c r="BC1" s="5" t="s">
        <v>115</v>
      </c>
      <c r="BD1" s="5" t="s">
        <v>116</v>
      </c>
      <c r="BE1" s="5" t="s">
        <v>117</v>
      </c>
      <c r="BF1" s="5" t="s">
        <v>118</v>
      </c>
      <c r="BG1" s="5" t="s">
        <v>119</v>
      </c>
      <c r="BH1" s="5" t="s">
        <v>120</v>
      </c>
      <c r="BI1" s="5" t="s">
        <v>121</v>
      </c>
      <c r="BJ1" s="5" t="s">
        <v>122</v>
      </c>
      <c r="BK1" s="5" t="s">
        <v>123</v>
      </c>
      <c r="BL1" s="5" t="s">
        <v>124</v>
      </c>
      <c r="BM1" s="5" t="s">
        <v>125</v>
      </c>
      <c r="BN1" s="5" t="s">
        <v>126</v>
      </c>
      <c r="BO1" s="5" t="s">
        <v>127</v>
      </c>
      <c r="BP1" s="5" t="s">
        <v>128</v>
      </c>
      <c r="BQ1" s="5" t="s">
        <v>129</v>
      </c>
      <c r="BR1" s="5" t="s">
        <v>130</v>
      </c>
      <c r="BS1" s="5" t="s">
        <v>131</v>
      </c>
      <c r="BT1" s="5" t="s">
        <v>132</v>
      </c>
      <c r="BU1" s="5" t="s">
        <v>133</v>
      </c>
      <c r="BV1" s="5" t="s">
        <v>134</v>
      </c>
      <c r="BW1" s="5" t="s">
        <v>135</v>
      </c>
      <c r="BX1" s="5" t="s">
        <v>136</v>
      </c>
      <c r="BY1" s="5" t="s">
        <v>137</v>
      </c>
      <c r="BZ1" s="5" t="s">
        <v>138</v>
      </c>
      <c r="CA1" s="5" t="s">
        <v>139</v>
      </c>
    </row>
    <row r="2" customFormat="false" ht="15" hidden="false" customHeight="false" outlineLevel="0" collapsed="false">
      <c r="A2" s="0" t="s">
        <v>140</v>
      </c>
      <c r="B2" s="0" t="s">
        <v>141</v>
      </c>
      <c r="C2" s="0" t="s">
        <v>141</v>
      </c>
      <c r="D2" s="0" t="s">
        <v>141</v>
      </c>
      <c r="E2" s="0" t="s">
        <v>141</v>
      </c>
      <c r="F2" s="0" t="s">
        <v>141</v>
      </c>
      <c r="G2" s="0" t="s">
        <v>141</v>
      </c>
      <c r="H2" s="0" t="s">
        <v>141</v>
      </c>
      <c r="I2" s="0" t="s">
        <v>141</v>
      </c>
      <c r="J2" s="0" t="s">
        <v>141</v>
      </c>
      <c r="K2" s="0" t="s">
        <v>141</v>
      </c>
      <c r="L2" s="0" t="s">
        <v>141</v>
      </c>
      <c r="M2" s="0" t="s">
        <v>141</v>
      </c>
      <c r="N2" s="0" t="s">
        <v>141</v>
      </c>
      <c r="O2" s="0" t="s">
        <v>141</v>
      </c>
      <c r="P2" s="0" t="s">
        <v>141</v>
      </c>
      <c r="Q2" s="0" t="s">
        <v>141</v>
      </c>
      <c r="R2" s="0" t="s">
        <v>141</v>
      </c>
      <c r="S2" s="0" t="s">
        <v>141</v>
      </c>
      <c r="T2" s="0" t="s">
        <v>141</v>
      </c>
      <c r="U2" s="0" t="s">
        <v>141</v>
      </c>
      <c r="V2" s="0" t="s">
        <v>141</v>
      </c>
      <c r="W2" s="0" t="s">
        <v>141</v>
      </c>
      <c r="X2" s="0" t="s">
        <v>141</v>
      </c>
      <c r="Y2" s="0" t="s">
        <v>141</v>
      </c>
      <c r="Z2" s="0" t="s">
        <v>141</v>
      </c>
      <c r="AA2" s="0" t="s">
        <v>141</v>
      </c>
      <c r="AB2" s="0" t="s">
        <v>141</v>
      </c>
      <c r="AC2" s="0" t="s">
        <v>141</v>
      </c>
      <c r="AD2" s="0" t="s">
        <v>141</v>
      </c>
      <c r="AE2" s="0" t="s">
        <v>141</v>
      </c>
      <c r="AF2" s="0" t="s">
        <v>141</v>
      </c>
      <c r="AG2" s="0" t="s">
        <v>141</v>
      </c>
      <c r="AH2" s="0" t="s">
        <v>141</v>
      </c>
      <c r="AI2" s="0" t="s">
        <v>141</v>
      </c>
      <c r="AJ2" s="0" t="s">
        <v>141</v>
      </c>
      <c r="AK2" s="0" t="s">
        <v>141</v>
      </c>
      <c r="AL2" s="0" t="s">
        <v>141</v>
      </c>
      <c r="AM2" s="0" t="s">
        <v>141</v>
      </c>
      <c r="AN2" s="0" t="s">
        <v>141</v>
      </c>
      <c r="AO2" s="0" t="s">
        <v>141</v>
      </c>
      <c r="AP2" s="0" t="s">
        <v>141</v>
      </c>
      <c r="AQ2" s="0" t="s">
        <v>141</v>
      </c>
      <c r="AR2" s="0" t="s">
        <v>141</v>
      </c>
      <c r="AS2" s="0" t="s">
        <v>141</v>
      </c>
      <c r="AT2" s="0" t="s">
        <v>141</v>
      </c>
      <c r="AU2" s="0" t="s">
        <v>141</v>
      </c>
      <c r="AV2" s="0" t="s">
        <v>141</v>
      </c>
      <c r="AW2" s="0" t="s">
        <v>141</v>
      </c>
      <c r="AX2" s="0" t="s">
        <v>141</v>
      </c>
      <c r="AY2" s="0" t="s">
        <v>141</v>
      </c>
      <c r="AZ2" s="0" t="s">
        <v>141</v>
      </c>
      <c r="BA2" s="0" t="s">
        <v>141</v>
      </c>
      <c r="BB2" s="0" t="s">
        <v>141</v>
      </c>
      <c r="BC2" s="0" t="s">
        <v>141</v>
      </c>
      <c r="BD2" s="0" t="s">
        <v>141</v>
      </c>
      <c r="BE2" s="0" t="s">
        <v>141</v>
      </c>
      <c r="BF2" s="0" t="s">
        <v>141</v>
      </c>
      <c r="BG2" s="0" t="s">
        <v>141</v>
      </c>
      <c r="BH2" s="0" t="s">
        <v>141</v>
      </c>
      <c r="BI2" s="0" t="s">
        <v>141</v>
      </c>
      <c r="BJ2" s="0" t="s">
        <v>141</v>
      </c>
      <c r="BK2" s="0" t="s">
        <v>141</v>
      </c>
      <c r="BL2" s="0" t="s">
        <v>141</v>
      </c>
      <c r="BM2" s="0" t="s">
        <v>141</v>
      </c>
      <c r="BN2" s="0" t="s">
        <v>141</v>
      </c>
      <c r="BO2" s="0" t="s">
        <v>141</v>
      </c>
      <c r="BP2" s="0" t="s">
        <v>141</v>
      </c>
      <c r="BQ2" s="0" t="s">
        <v>141</v>
      </c>
      <c r="BR2" s="0" t="s">
        <v>141</v>
      </c>
      <c r="BS2" s="0" t="s">
        <v>141</v>
      </c>
      <c r="BT2" s="0" t="s">
        <v>141</v>
      </c>
      <c r="BU2" s="0" t="s">
        <v>141</v>
      </c>
      <c r="BV2" s="0" t="s">
        <v>141</v>
      </c>
      <c r="BW2" s="0" t="s">
        <v>141</v>
      </c>
      <c r="BX2" s="0" t="s">
        <v>141</v>
      </c>
      <c r="BY2" s="0" t="s">
        <v>141</v>
      </c>
      <c r="BZ2" s="0" t="s">
        <v>141</v>
      </c>
      <c r="CA2" s="0" t="s">
        <v>141</v>
      </c>
    </row>
    <row r="3" customFormat="false" ht="15" hidden="false" customHeight="false" outlineLevel="0" collapsed="false">
      <c r="A3" s="0" t="s">
        <v>142</v>
      </c>
      <c r="B3" s="0" t="s">
        <v>232</v>
      </c>
      <c r="C3" s="0" t="s">
        <v>233</v>
      </c>
      <c r="D3" s="0" t="s">
        <v>234</v>
      </c>
      <c r="E3" s="0" t="s">
        <v>235</v>
      </c>
      <c r="F3" s="0" t="s">
        <v>236</v>
      </c>
      <c r="G3" s="0" t="s">
        <v>237</v>
      </c>
      <c r="H3" s="0" t="s">
        <v>238</v>
      </c>
      <c r="I3" s="0" t="s">
        <v>239</v>
      </c>
      <c r="J3" s="0" t="s">
        <v>240</v>
      </c>
      <c r="K3" s="0" t="s">
        <v>241</v>
      </c>
      <c r="L3" s="0" t="s">
        <v>242</v>
      </c>
      <c r="M3" s="0" t="s">
        <v>243</v>
      </c>
      <c r="N3" s="0" t="s">
        <v>244</v>
      </c>
      <c r="O3" s="0" t="s">
        <v>245</v>
      </c>
      <c r="P3" s="0" t="s">
        <v>246</v>
      </c>
      <c r="Q3" s="0" t="s">
        <v>247</v>
      </c>
      <c r="R3" s="0" t="s">
        <v>248</v>
      </c>
      <c r="S3" s="0" t="s">
        <v>249</v>
      </c>
      <c r="T3" s="0" t="s">
        <v>250</v>
      </c>
      <c r="U3" s="0" t="s">
        <v>251</v>
      </c>
      <c r="V3" s="0" t="s">
        <v>252</v>
      </c>
      <c r="W3" s="0" t="s">
        <v>253</v>
      </c>
      <c r="X3" s="0" t="s">
        <v>254</v>
      </c>
      <c r="Y3" s="0" t="s">
        <v>255</v>
      </c>
      <c r="Z3" s="0" t="s">
        <v>256</v>
      </c>
      <c r="AA3" s="0" t="s">
        <v>257</v>
      </c>
      <c r="AB3" s="0" t="s">
        <v>258</v>
      </c>
      <c r="AC3" s="0" t="s">
        <v>259</v>
      </c>
      <c r="AD3" s="0" t="s">
        <v>260</v>
      </c>
      <c r="AE3" s="0" t="s">
        <v>261</v>
      </c>
      <c r="AF3" s="0" t="s">
        <v>262</v>
      </c>
      <c r="AG3" s="0" t="s">
        <v>263</v>
      </c>
      <c r="AH3" s="0" t="s">
        <v>264</v>
      </c>
      <c r="AI3" s="0" t="s">
        <v>265</v>
      </c>
      <c r="AJ3" s="0" t="s">
        <v>266</v>
      </c>
      <c r="AK3" s="0" t="s">
        <v>267</v>
      </c>
      <c r="AL3" s="0" t="s">
        <v>268</v>
      </c>
      <c r="AM3" s="0" t="s">
        <v>269</v>
      </c>
      <c r="AN3" s="0" t="s">
        <v>270</v>
      </c>
      <c r="AO3" s="0" t="s">
        <v>271</v>
      </c>
      <c r="AP3" s="0" t="s">
        <v>272</v>
      </c>
      <c r="AQ3" s="0" t="s">
        <v>273</v>
      </c>
      <c r="AR3" s="0" t="s">
        <v>274</v>
      </c>
      <c r="AS3" s="0" t="s">
        <v>275</v>
      </c>
      <c r="AT3" s="0" t="s">
        <v>276</v>
      </c>
      <c r="AU3" s="0" t="s">
        <v>277</v>
      </c>
      <c r="AV3" s="0" t="s">
        <v>278</v>
      </c>
      <c r="AW3" s="0" t="s">
        <v>279</v>
      </c>
      <c r="AX3" s="0" t="s">
        <v>280</v>
      </c>
      <c r="AY3" s="0" t="s">
        <v>281</v>
      </c>
      <c r="AZ3" s="0" t="s">
        <v>282</v>
      </c>
      <c r="BA3" s="0" t="s">
        <v>283</v>
      </c>
      <c r="BB3" s="0" t="s">
        <v>284</v>
      </c>
      <c r="BC3" s="0" t="s">
        <v>285</v>
      </c>
      <c r="BD3" s="0" t="s">
        <v>286</v>
      </c>
      <c r="BE3" s="0" t="s">
        <v>287</v>
      </c>
      <c r="BF3" s="0" t="s">
        <v>288</v>
      </c>
      <c r="BG3" s="0" t="s">
        <v>289</v>
      </c>
      <c r="BH3" s="0" t="s">
        <v>290</v>
      </c>
      <c r="BI3" s="0" t="s">
        <v>291</v>
      </c>
      <c r="BJ3" s="0" t="s">
        <v>292</v>
      </c>
      <c r="BK3" s="0" t="s">
        <v>293</v>
      </c>
      <c r="BL3" s="0" t="s">
        <v>294</v>
      </c>
      <c r="BM3" s="0" t="s">
        <v>295</v>
      </c>
      <c r="BN3" s="0" t="s">
        <v>296</v>
      </c>
      <c r="BO3" s="0" t="s">
        <v>297</v>
      </c>
      <c r="BP3" s="0" t="s">
        <v>298</v>
      </c>
      <c r="BQ3" s="0" t="s">
        <v>299</v>
      </c>
      <c r="BR3" s="0" t="s">
        <v>300</v>
      </c>
      <c r="BS3" s="0" t="s">
        <v>301</v>
      </c>
      <c r="BT3" s="0" t="s">
        <v>302</v>
      </c>
      <c r="BU3" s="0" t="s">
        <v>303</v>
      </c>
      <c r="BV3" s="0" t="s">
        <v>304</v>
      </c>
      <c r="BW3" s="0" t="s">
        <v>305</v>
      </c>
      <c r="BX3" s="0" t="s">
        <v>306</v>
      </c>
      <c r="BY3" s="0" t="s">
        <v>307</v>
      </c>
      <c r="BZ3" s="0" t="s">
        <v>308</v>
      </c>
      <c r="CA3" s="0" t="s">
        <v>309</v>
      </c>
    </row>
    <row r="4" customFormat="false" ht="15" hidden="false" customHeight="false" outlineLevel="0" collapsed="false">
      <c r="A4" s="0" t="s">
        <v>221</v>
      </c>
      <c r="B4" s="6" t="n">
        <v>13977</v>
      </c>
      <c r="C4" s="6" t="n">
        <v>121</v>
      </c>
      <c r="D4" s="6" t="n">
        <v>780</v>
      </c>
      <c r="E4" s="6" t="n">
        <v>1075</v>
      </c>
      <c r="F4" s="6" t="n">
        <v>1852</v>
      </c>
      <c r="G4" s="6" t="n">
        <v>1265</v>
      </c>
      <c r="H4" s="6" t="n">
        <v>2601</v>
      </c>
      <c r="I4" s="6" t="n">
        <v>483</v>
      </c>
      <c r="J4" s="6" t="n">
        <v>1975</v>
      </c>
      <c r="K4" s="6" t="n">
        <v>919</v>
      </c>
      <c r="L4" s="6" t="n">
        <v>2908</v>
      </c>
      <c r="M4" s="6" t="n">
        <v>3271</v>
      </c>
      <c r="N4" s="6" t="n">
        <v>2241</v>
      </c>
      <c r="O4" s="6" t="n">
        <v>1027</v>
      </c>
      <c r="P4" s="6" t="n">
        <v>3206</v>
      </c>
      <c r="Q4" s="6" t="n">
        <v>5</v>
      </c>
      <c r="R4" s="6" t="n">
        <v>88</v>
      </c>
      <c r="S4" s="6" t="n">
        <v>102</v>
      </c>
      <c r="T4" s="6" t="n">
        <v>816</v>
      </c>
      <c r="U4" s="6" t="n">
        <v>212</v>
      </c>
      <c r="V4" s="6" t="n">
        <v>99</v>
      </c>
      <c r="W4" s="6" t="n">
        <v>311</v>
      </c>
      <c r="X4" s="6" t="n">
        <v>1017</v>
      </c>
      <c r="Y4" s="6" t="n">
        <v>551</v>
      </c>
      <c r="Z4" s="6" t="n">
        <v>23604</v>
      </c>
      <c r="AA4" s="6" t="n">
        <v>51</v>
      </c>
      <c r="AB4" s="6" t="n">
        <v>23315</v>
      </c>
      <c r="AC4" s="6" t="n">
        <v>238</v>
      </c>
      <c r="AD4" s="6" t="n">
        <v>700</v>
      </c>
      <c r="AE4" s="6" t="n">
        <v>61</v>
      </c>
      <c r="AF4" s="6" t="n">
        <v>596</v>
      </c>
      <c r="AG4" s="6" t="n">
        <v>44</v>
      </c>
      <c r="AH4" s="6" t="n">
        <v>27705</v>
      </c>
      <c r="AI4" s="6" t="n">
        <v>2410</v>
      </c>
      <c r="AJ4" s="6" t="n">
        <v>1567</v>
      </c>
      <c r="AK4" s="6" t="n">
        <v>997</v>
      </c>
      <c r="AL4" s="6" t="n">
        <v>11226</v>
      </c>
      <c r="AM4" s="6" t="n">
        <v>2938</v>
      </c>
      <c r="AN4" s="6" t="n">
        <v>1682</v>
      </c>
      <c r="AO4" s="6" t="n">
        <v>1958</v>
      </c>
      <c r="AP4" s="6" t="n">
        <v>1947</v>
      </c>
      <c r="AQ4" s="6" t="n">
        <v>2978</v>
      </c>
      <c r="AR4" s="6" t="n">
        <v>28223</v>
      </c>
      <c r="AS4" s="6" t="n">
        <v>164</v>
      </c>
      <c r="AT4" s="6" t="n">
        <v>3399</v>
      </c>
      <c r="AU4" s="6" t="n">
        <v>1305</v>
      </c>
      <c r="AV4" s="6" t="n">
        <v>2999</v>
      </c>
      <c r="AW4" s="6" t="n">
        <v>3577</v>
      </c>
      <c r="AX4" s="6" t="n">
        <v>3847</v>
      </c>
      <c r="AY4" s="6" t="n">
        <v>2532</v>
      </c>
      <c r="AZ4" s="6" t="n">
        <v>2691</v>
      </c>
      <c r="BA4" s="6" t="n">
        <v>7710</v>
      </c>
      <c r="BB4" s="6" t="n">
        <v>103332</v>
      </c>
      <c r="BC4" s="6" t="n">
        <v>4429</v>
      </c>
      <c r="BD4" s="6" t="n">
        <v>7665</v>
      </c>
      <c r="BE4" s="6" t="n">
        <v>595</v>
      </c>
      <c r="BF4" s="6" t="n">
        <v>14478</v>
      </c>
      <c r="BG4" s="6" t="n">
        <v>9773</v>
      </c>
      <c r="BH4" s="6" t="n">
        <v>14598</v>
      </c>
      <c r="BI4" s="6" t="n">
        <v>13089</v>
      </c>
      <c r="BJ4" s="6" t="n">
        <v>34412</v>
      </c>
      <c r="BK4" s="6" t="n">
        <v>4295</v>
      </c>
      <c r="BL4" s="6" t="n">
        <v>40365</v>
      </c>
      <c r="BM4" s="6" t="n">
        <v>1661</v>
      </c>
      <c r="BN4" s="6" t="n">
        <v>4276</v>
      </c>
      <c r="BO4" s="6" t="n">
        <v>1462</v>
      </c>
      <c r="BP4" s="6" t="n">
        <v>8611</v>
      </c>
      <c r="BQ4" s="6" t="n">
        <v>2202</v>
      </c>
      <c r="BR4" s="6" t="n">
        <v>6756</v>
      </c>
      <c r="BS4" s="6" t="n">
        <v>1853</v>
      </c>
      <c r="BT4" s="6" t="n">
        <v>13547</v>
      </c>
      <c r="BU4" s="6" t="n">
        <v>9962</v>
      </c>
      <c r="BV4" s="6" t="n">
        <v>4</v>
      </c>
      <c r="BW4" s="6" t="n">
        <v>41</v>
      </c>
      <c r="BX4" s="6" t="n">
        <v>7</v>
      </c>
      <c r="BY4" s="6" t="n">
        <v>7468</v>
      </c>
      <c r="BZ4" s="6" t="n">
        <v>2440</v>
      </c>
      <c r="CA4" s="6" t="n">
        <v>254345</v>
      </c>
    </row>
    <row r="5" customFormat="false" ht="15" hidden="false" customHeight="false" outlineLevel="0" collapsed="false">
      <c r="A5" s="0" t="s">
        <v>222</v>
      </c>
      <c r="B5" s="6" t="n">
        <v>14304</v>
      </c>
      <c r="C5" s="6" t="n">
        <v>155</v>
      </c>
      <c r="D5" s="6" t="n">
        <v>833</v>
      </c>
      <c r="E5" s="6" t="n">
        <v>1321</v>
      </c>
      <c r="F5" s="6" t="n">
        <v>1950</v>
      </c>
      <c r="G5" s="6" t="n">
        <v>1309</v>
      </c>
      <c r="H5" s="6" t="n">
        <v>2684</v>
      </c>
      <c r="I5" s="6" t="n">
        <v>460</v>
      </c>
      <c r="J5" s="6" t="n">
        <v>2057</v>
      </c>
      <c r="K5" s="6" t="n">
        <v>939</v>
      </c>
      <c r="L5" s="6" t="n">
        <v>2593</v>
      </c>
      <c r="M5" s="6" t="n">
        <v>3285</v>
      </c>
      <c r="N5" s="6" t="n">
        <v>2280</v>
      </c>
      <c r="O5" s="6" t="n">
        <v>1006</v>
      </c>
      <c r="P5" s="6" t="n">
        <v>3544</v>
      </c>
      <c r="Q5" s="6" t="n">
        <v>3</v>
      </c>
      <c r="R5" s="6" t="n">
        <v>111</v>
      </c>
      <c r="S5" s="6" t="n">
        <v>165</v>
      </c>
      <c r="T5" s="6" t="n">
        <v>836</v>
      </c>
      <c r="U5" s="6" t="n">
        <v>232</v>
      </c>
      <c r="V5" s="6" t="n">
        <v>91</v>
      </c>
      <c r="W5" s="6" t="n">
        <v>286</v>
      </c>
      <c r="X5" s="6" t="n">
        <v>1221</v>
      </c>
      <c r="Y5" s="6" t="n">
        <v>597</v>
      </c>
      <c r="Z5" s="6" t="n">
        <v>29805</v>
      </c>
      <c r="AA5" s="6" t="n">
        <v>139</v>
      </c>
      <c r="AB5" s="6" t="n">
        <v>29365</v>
      </c>
      <c r="AC5" s="6" t="n">
        <v>303</v>
      </c>
      <c r="AD5" s="6" t="n">
        <v>702</v>
      </c>
      <c r="AE5" s="6" t="n">
        <v>56</v>
      </c>
      <c r="AF5" s="6" t="n">
        <v>591</v>
      </c>
      <c r="AG5" s="6" t="n">
        <v>53</v>
      </c>
      <c r="AH5" s="6" t="n">
        <v>28054</v>
      </c>
      <c r="AI5" s="6" t="n">
        <v>2363</v>
      </c>
      <c r="AJ5" s="6" t="n">
        <v>1578</v>
      </c>
      <c r="AK5" s="6" t="n">
        <v>1019</v>
      </c>
      <c r="AL5" s="6" t="n">
        <v>11138</v>
      </c>
      <c r="AM5" s="6" t="n">
        <v>3084</v>
      </c>
      <c r="AN5" s="6" t="n">
        <v>1640</v>
      </c>
      <c r="AO5" s="6" t="n">
        <v>2109</v>
      </c>
      <c r="AP5" s="6" t="n">
        <v>1994</v>
      </c>
      <c r="AQ5" s="6" t="n">
        <v>3131</v>
      </c>
      <c r="AR5" s="6" t="n">
        <v>28701</v>
      </c>
      <c r="AS5" s="6" t="n">
        <v>160</v>
      </c>
      <c r="AT5" s="6" t="n">
        <v>3580</v>
      </c>
      <c r="AU5" s="6" t="n">
        <v>1408</v>
      </c>
      <c r="AV5" s="6" t="n">
        <v>2935</v>
      </c>
      <c r="AW5" s="6" t="n">
        <v>3604</v>
      </c>
      <c r="AX5" s="6" t="n">
        <v>3794</v>
      </c>
      <c r="AY5" s="6" t="n">
        <v>3059</v>
      </c>
      <c r="AZ5" s="6" t="n">
        <v>2479</v>
      </c>
      <c r="BA5" s="6" t="n">
        <v>7685</v>
      </c>
      <c r="BB5" s="6" t="n">
        <v>117933</v>
      </c>
      <c r="BC5" s="6" t="n">
        <v>4763</v>
      </c>
      <c r="BD5" s="6" t="n">
        <v>8870</v>
      </c>
      <c r="BE5" s="6" t="n">
        <v>639</v>
      </c>
      <c r="BF5" s="6" t="n">
        <v>13380</v>
      </c>
      <c r="BG5" s="6" t="n">
        <v>10489</v>
      </c>
      <c r="BH5" s="6" t="n">
        <v>15584</v>
      </c>
      <c r="BI5" s="6" t="n">
        <v>14637</v>
      </c>
      <c r="BJ5" s="6" t="n">
        <v>37308</v>
      </c>
      <c r="BK5" s="6" t="n">
        <v>12266</v>
      </c>
      <c r="BL5" s="6" t="n">
        <v>40571</v>
      </c>
      <c r="BM5" s="6" t="n">
        <v>1629</v>
      </c>
      <c r="BN5" s="6" t="n">
        <v>4256</v>
      </c>
      <c r="BO5" s="6" t="n">
        <v>1537</v>
      </c>
      <c r="BP5" s="6" t="n">
        <v>8736</v>
      </c>
      <c r="BQ5" s="6" t="n">
        <v>2177</v>
      </c>
      <c r="BR5" s="6" t="n">
        <v>6544</v>
      </c>
      <c r="BS5" s="6" t="n">
        <v>1821</v>
      </c>
      <c r="BT5" s="6" t="n">
        <v>13867</v>
      </c>
      <c r="BU5" s="6" t="n">
        <v>21397</v>
      </c>
      <c r="BV5" s="6" t="n">
        <v>12</v>
      </c>
      <c r="BW5" s="6" t="n">
        <v>21</v>
      </c>
      <c r="BX5" s="6" t="n">
        <v>3</v>
      </c>
      <c r="BY5" s="6" t="n">
        <v>6220</v>
      </c>
      <c r="BZ5" s="6" t="n">
        <v>15140</v>
      </c>
      <c r="CA5" s="6" t="n">
        <v>288291</v>
      </c>
    </row>
    <row r="6" customFormat="false" ht="15" hidden="false" customHeight="false" outlineLevel="0" collapsed="false">
      <c r="A6" s="0" t="s">
        <v>223</v>
      </c>
      <c r="B6" s="6" t="n">
        <v>15132</v>
      </c>
      <c r="C6" s="6" t="n">
        <v>168</v>
      </c>
      <c r="D6" s="6" t="n">
        <v>822</v>
      </c>
      <c r="E6" s="6" t="n">
        <v>1420</v>
      </c>
      <c r="F6" s="6" t="n">
        <v>2013</v>
      </c>
      <c r="G6" s="6" t="n">
        <v>1479</v>
      </c>
      <c r="H6" s="6" t="n">
        <v>2647</v>
      </c>
      <c r="I6" s="6" t="n">
        <v>483</v>
      </c>
      <c r="J6" s="6" t="n">
        <v>2031</v>
      </c>
      <c r="K6" s="6" t="n">
        <v>1100</v>
      </c>
      <c r="L6" s="6" t="n">
        <v>2970</v>
      </c>
      <c r="M6" s="6" t="n">
        <v>3541</v>
      </c>
      <c r="N6" s="6" t="n">
        <v>2480</v>
      </c>
      <c r="O6" s="6" t="n">
        <v>1063</v>
      </c>
      <c r="P6" s="6" t="n">
        <v>3985</v>
      </c>
      <c r="Q6" s="6" t="n">
        <v>2</v>
      </c>
      <c r="R6" s="6" t="n">
        <v>115</v>
      </c>
      <c r="S6" s="6" t="n">
        <v>160</v>
      </c>
      <c r="T6" s="6" t="n">
        <v>1041</v>
      </c>
      <c r="U6" s="6" t="n">
        <v>284</v>
      </c>
      <c r="V6" s="6" t="n">
        <v>99</v>
      </c>
      <c r="W6" s="6" t="n">
        <v>316</v>
      </c>
      <c r="X6" s="6" t="n">
        <v>1306</v>
      </c>
      <c r="Y6" s="6" t="n">
        <v>662</v>
      </c>
      <c r="Z6" s="6" t="n">
        <v>40512</v>
      </c>
      <c r="AA6" s="6" t="n">
        <v>178</v>
      </c>
      <c r="AB6" s="6" t="n">
        <v>39947</v>
      </c>
      <c r="AC6" s="6" t="n">
        <v>390</v>
      </c>
      <c r="AD6" s="6" t="n">
        <v>756</v>
      </c>
      <c r="AE6" s="6" t="n">
        <v>70</v>
      </c>
      <c r="AF6" s="6" t="n">
        <v>627</v>
      </c>
      <c r="AG6" s="6" t="n">
        <v>54</v>
      </c>
      <c r="AH6" s="6" t="n">
        <v>29837</v>
      </c>
      <c r="AI6" s="6" t="n">
        <v>2507</v>
      </c>
      <c r="AJ6" s="6" t="n">
        <v>1107</v>
      </c>
      <c r="AK6" s="6" t="n">
        <v>1111</v>
      </c>
      <c r="AL6" s="6" t="n">
        <v>11782</v>
      </c>
      <c r="AM6" s="6" t="n">
        <v>3595</v>
      </c>
      <c r="AN6" s="6" t="n">
        <v>1915</v>
      </c>
      <c r="AO6" s="6" t="n">
        <v>2460</v>
      </c>
      <c r="AP6" s="6" t="n">
        <v>2196</v>
      </c>
      <c r="AQ6" s="6" t="n">
        <v>3161</v>
      </c>
      <c r="AR6" s="6" t="n">
        <v>32443</v>
      </c>
      <c r="AS6" s="6" t="n">
        <v>154</v>
      </c>
      <c r="AT6" s="6" t="n">
        <v>3966</v>
      </c>
      <c r="AU6" s="6" t="n">
        <v>1596</v>
      </c>
      <c r="AV6" s="6" t="n">
        <v>3163</v>
      </c>
      <c r="AW6" s="6" t="n">
        <v>3816</v>
      </c>
      <c r="AX6" s="6" t="n">
        <v>4038</v>
      </c>
      <c r="AY6" s="6" t="n">
        <v>3901</v>
      </c>
      <c r="AZ6" s="6" t="n">
        <v>2775</v>
      </c>
      <c r="BA6" s="6" t="n">
        <v>9039</v>
      </c>
      <c r="BB6" s="6" t="n">
        <v>121404</v>
      </c>
      <c r="BC6" s="6" t="n">
        <v>5936</v>
      </c>
      <c r="BD6" s="6" t="n">
        <v>10484</v>
      </c>
      <c r="BE6" s="6" t="n">
        <v>751</v>
      </c>
      <c r="BF6" s="6" t="n">
        <v>14952</v>
      </c>
      <c r="BG6" s="6" t="n">
        <v>11907</v>
      </c>
      <c r="BH6" s="6" t="n">
        <v>17166</v>
      </c>
      <c r="BI6" s="6" t="n">
        <v>16823</v>
      </c>
      <c r="BJ6" s="6" t="n">
        <v>39091</v>
      </c>
      <c r="BK6" s="6" t="n">
        <v>4294</v>
      </c>
      <c r="BL6" s="6" t="n">
        <v>44299</v>
      </c>
      <c r="BM6" s="6" t="n">
        <v>1789</v>
      </c>
      <c r="BN6" s="6" t="n">
        <v>4874</v>
      </c>
      <c r="BO6" s="6" t="n">
        <v>1843</v>
      </c>
      <c r="BP6" s="6" t="n">
        <v>9479</v>
      </c>
      <c r="BQ6" s="6" t="n">
        <v>2324</v>
      </c>
      <c r="BR6" s="6" t="n">
        <v>7364</v>
      </c>
      <c r="BS6" s="6" t="n">
        <v>1934</v>
      </c>
      <c r="BT6" s="6" t="n">
        <v>14691</v>
      </c>
      <c r="BU6" s="6" t="n">
        <v>12140</v>
      </c>
      <c r="BV6" s="6" t="n">
        <v>5</v>
      </c>
      <c r="BW6" s="6" t="n">
        <v>30</v>
      </c>
      <c r="BX6" s="6" t="n">
        <v>7</v>
      </c>
      <c r="BY6" s="6" t="n">
        <v>6385</v>
      </c>
      <c r="BZ6" s="6" t="n">
        <v>5711</v>
      </c>
      <c r="CA6" s="6" t="n">
        <v>304050</v>
      </c>
    </row>
    <row r="7" customFormat="false" ht="15" hidden="false" customHeight="false" outlineLevel="0" collapsed="false">
      <c r="A7" s="0" t="s">
        <v>224</v>
      </c>
      <c r="B7" s="6" t="n">
        <v>16938</v>
      </c>
      <c r="C7" s="6" t="n">
        <v>145</v>
      </c>
      <c r="D7" s="6" t="n">
        <v>1029</v>
      </c>
      <c r="E7" s="6" t="n">
        <v>1477</v>
      </c>
      <c r="F7" s="6" t="n">
        <v>2034</v>
      </c>
      <c r="G7" s="6" t="n">
        <v>1916</v>
      </c>
      <c r="H7" s="6" t="n">
        <v>2806</v>
      </c>
      <c r="I7" s="6" t="n">
        <v>485</v>
      </c>
      <c r="J7" s="6" t="n">
        <v>2131</v>
      </c>
      <c r="K7" s="6" t="n">
        <v>1238</v>
      </c>
      <c r="L7" s="6" t="n">
        <v>3678</v>
      </c>
      <c r="M7" s="6" t="n">
        <v>3798</v>
      </c>
      <c r="N7" s="6" t="n">
        <v>2688</v>
      </c>
      <c r="O7" s="6" t="n">
        <v>1113</v>
      </c>
      <c r="P7" s="6" t="n">
        <v>3138</v>
      </c>
      <c r="Q7" s="6" t="n">
        <v>7</v>
      </c>
      <c r="R7" s="6" t="n">
        <v>127</v>
      </c>
      <c r="S7" s="6" t="n">
        <v>147</v>
      </c>
      <c r="T7" s="6" t="n">
        <v>801</v>
      </c>
      <c r="U7" s="6" t="n">
        <v>260</v>
      </c>
      <c r="V7" s="6" t="n">
        <v>98</v>
      </c>
      <c r="W7" s="6" t="n">
        <v>286</v>
      </c>
      <c r="X7" s="6" t="n">
        <v>744</v>
      </c>
      <c r="Y7" s="6" t="n">
        <v>665</v>
      </c>
      <c r="Z7" s="6" t="n">
        <v>38794</v>
      </c>
      <c r="AA7" s="6" t="n">
        <v>203</v>
      </c>
      <c r="AB7" s="6" t="n">
        <v>38357</v>
      </c>
      <c r="AC7" s="6" t="n">
        <v>236</v>
      </c>
      <c r="AD7" s="6" t="n">
        <v>725</v>
      </c>
      <c r="AE7" s="6" t="n">
        <v>83</v>
      </c>
      <c r="AF7" s="6" t="n">
        <v>579</v>
      </c>
      <c r="AG7" s="6" t="n">
        <v>64</v>
      </c>
      <c r="AH7" s="6" t="n">
        <v>31024</v>
      </c>
      <c r="AI7" s="6" t="n">
        <v>2260</v>
      </c>
      <c r="AJ7" s="6" t="n">
        <v>1031</v>
      </c>
      <c r="AK7" s="6" t="n">
        <v>1084</v>
      </c>
      <c r="AL7" s="6" t="n">
        <v>13112</v>
      </c>
      <c r="AM7" s="6" t="n">
        <v>3865</v>
      </c>
      <c r="AN7" s="6" t="n">
        <v>2150</v>
      </c>
      <c r="AO7" s="6" t="n">
        <v>2211</v>
      </c>
      <c r="AP7" s="6" t="n">
        <v>2226</v>
      </c>
      <c r="AQ7" s="6" t="n">
        <v>3090</v>
      </c>
      <c r="AR7" s="6" t="n">
        <v>32286</v>
      </c>
      <c r="AS7" s="6" t="n">
        <v>143</v>
      </c>
      <c r="AT7" s="6" t="n">
        <v>4242</v>
      </c>
      <c r="AU7" s="6" t="n">
        <v>1517</v>
      </c>
      <c r="AV7" s="6" t="n">
        <v>3336</v>
      </c>
      <c r="AW7" s="6" t="n">
        <v>3834</v>
      </c>
      <c r="AX7" s="6" t="n">
        <v>4110</v>
      </c>
      <c r="AY7" s="6" t="n">
        <v>3271</v>
      </c>
      <c r="AZ7" s="6" t="n">
        <v>2874</v>
      </c>
      <c r="BA7" s="6" t="n">
        <v>8957</v>
      </c>
      <c r="BB7" s="6" t="n">
        <v>123286</v>
      </c>
      <c r="BC7" s="6" t="n">
        <v>6310</v>
      </c>
      <c r="BD7" s="6" t="n">
        <v>10688</v>
      </c>
      <c r="BE7" s="6" t="n">
        <v>864</v>
      </c>
      <c r="BF7" s="6" t="n">
        <v>15646</v>
      </c>
      <c r="BG7" s="6" t="n">
        <v>11737</v>
      </c>
      <c r="BH7" s="6" t="n">
        <v>17648</v>
      </c>
      <c r="BI7" s="6" t="n">
        <v>17451</v>
      </c>
      <c r="BJ7" s="6" t="n">
        <v>37286</v>
      </c>
      <c r="BK7" s="6" t="n">
        <v>5660</v>
      </c>
      <c r="BL7" s="6" t="n">
        <v>46308</v>
      </c>
      <c r="BM7" s="6" t="n">
        <v>1742</v>
      </c>
      <c r="BN7" s="6" t="n">
        <v>4983</v>
      </c>
      <c r="BO7" s="6" t="n">
        <v>1886</v>
      </c>
      <c r="BP7" s="6" t="n">
        <v>10205</v>
      </c>
      <c r="BQ7" s="6" t="n">
        <v>2564</v>
      </c>
      <c r="BR7" s="6" t="n">
        <v>7726</v>
      </c>
      <c r="BS7" s="6" t="n">
        <v>2078</v>
      </c>
      <c r="BT7" s="6" t="n">
        <v>15133</v>
      </c>
      <c r="BU7" s="6" t="n">
        <v>11251</v>
      </c>
      <c r="BV7" s="6" t="n">
        <v>5</v>
      </c>
      <c r="BW7" s="6" t="n">
        <v>33</v>
      </c>
      <c r="BX7" s="6" t="n">
        <v>2</v>
      </c>
      <c r="BY7" s="6" t="n">
        <v>6772</v>
      </c>
      <c r="BZ7" s="6" t="n">
        <v>4434</v>
      </c>
      <c r="CA7" s="6" t="n">
        <v>307549</v>
      </c>
    </row>
    <row r="8" customFormat="false" ht="15" hidden="false" customHeight="false" outlineLevel="0" collapsed="false">
      <c r="A8" s="0" t="s">
        <v>225</v>
      </c>
      <c r="B8" s="6" t="n">
        <v>17607</v>
      </c>
      <c r="C8" s="6" t="n">
        <v>157</v>
      </c>
      <c r="D8" s="6" t="n">
        <v>905</v>
      </c>
      <c r="E8" s="6" t="n">
        <v>1589</v>
      </c>
      <c r="F8" s="6" t="n">
        <v>1882</v>
      </c>
      <c r="G8" s="6" t="n">
        <v>2088</v>
      </c>
      <c r="H8" s="6" t="n">
        <v>3107</v>
      </c>
      <c r="I8" s="6" t="n">
        <v>489</v>
      </c>
      <c r="J8" s="6" t="n">
        <v>2208</v>
      </c>
      <c r="K8" s="6" t="n">
        <v>1355</v>
      </c>
      <c r="L8" s="6" t="n">
        <v>3824</v>
      </c>
      <c r="M8" s="6" t="n">
        <v>3475</v>
      </c>
      <c r="N8" s="6" t="n">
        <v>2585</v>
      </c>
      <c r="O8" s="6" t="n">
        <v>891</v>
      </c>
      <c r="P8" s="6" t="n">
        <v>3257</v>
      </c>
      <c r="Q8" s="6" t="n">
        <v>7</v>
      </c>
      <c r="R8" s="6" t="n">
        <v>141</v>
      </c>
      <c r="S8" s="6" t="n">
        <v>122</v>
      </c>
      <c r="T8" s="6" t="n">
        <v>801</v>
      </c>
      <c r="U8" s="6" t="n">
        <v>240</v>
      </c>
      <c r="V8" s="6" t="n">
        <v>97</v>
      </c>
      <c r="W8" s="6" t="n">
        <v>298</v>
      </c>
      <c r="X8" s="6" t="n">
        <v>870</v>
      </c>
      <c r="Y8" s="6" t="n">
        <v>686</v>
      </c>
      <c r="Z8" s="6" t="n">
        <v>23108</v>
      </c>
      <c r="AA8" s="6" t="n">
        <v>148</v>
      </c>
      <c r="AB8" s="6" t="n">
        <v>22720</v>
      </c>
      <c r="AC8" s="6" t="n">
        <v>242</v>
      </c>
      <c r="AD8" s="6" t="n">
        <v>766</v>
      </c>
      <c r="AE8" s="6" t="n">
        <v>85</v>
      </c>
      <c r="AF8" s="6" t="n">
        <v>627</v>
      </c>
      <c r="AG8" s="6" t="n">
        <v>55</v>
      </c>
      <c r="AH8" s="6" t="n">
        <v>33291</v>
      </c>
      <c r="AI8" s="6" t="n">
        <v>2668</v>
      </c>
      <c r="AJ8" s="6" t="n">
        <v>1043</v>
      </c>
      <c r="AK8" s="6" t="n">
        <v>1084</v>
      </c>
      <c r="AL8" s="6" t="n">
        <v>13802</v>
      </c>
      <c r="AM8" s="6" t="n">
        <v>3970</v>
      </c>
      <c r="AN8" s="6" t="n">
        <v>2122</v>
      </c>
      <c r="AO8" s="6" t="n">
        <v>2138</v>
      </c>
      <c r="AP8" s="6" t="n">
        <v>2294</v>
      </c>
      <c r="AQ8" s="6" t="n">
        <v>4167</v>
      </c>
      <c r="AR8" s="6" t="n">
        <v>34399</v>
      </c>
      <c r="AS8" s="6" t="n">
        <v>135</v>
      </c>
      <c r="AT8" s="6" t="n">
        <v>4089</v>
      </c>
      <c r="AU8" s="6" t="n">
        <v>1419</v>
      </c>
      <c r="AV8" s="6" t="n">
        <v>3274</v>
      </c>
      <c r="AW8" s="6" t="n">
        <v>5896</v>
      </c>
      <c r="AX8" s="6" t="n">
        <v>3869</v>
      </c>
      <c r="AY8" s="6" t="n">
        <v>3134</v>
      </c>
      <c r="AZ8" s="6" t="n">
        <v>3596</v>
      </c>
      <c r="BA8" s="6" t="n">
        <v>8988</v>
      </c>
      <c r="BB8" s="6" t="n">
        <v>119746</v>
      </c>
      <c r="BC8" s="6" t="n">
        <v>5691</v>
      </c>
      <c r="BD8" s="6" t="n">
        <v>10600</v>
      </c>
      <c r="BE8" s="6" t="n">
        <v>751</v>
      </c>
      <c r="BF8" s="6" t="n">
        <v>15673</v>
      </c>
      <c r="BG8" s="6" t="n">
        <v>12455</v>
      </c>
      <c r="BH8" s="6" t="n">
        <v>17588</v>
      </c>
      <c r="BI8" s="6" t="n">
        <v>17885</v>
      </c>
      <c r="BJ8" s="6" t="n">
        <v>33502</v>
      </c>
      <c r="BK8" s="6" t="n">
        <v>5595</v>
      </c>
      <c r="BL8" s="6" t="n">
        <v>46038</v>
      </c>
      <c r="BM8" s="6" t="n">
        <v>1726</v>
      </c>
      <c r="BN8" s="6" t="n">
        <v>5224</v>
      </c>
      <c r="BO8" s="6" t="n">
        <v>1512</v>
      </c>
      <c r="BP8" s="6" t="n">
        <v>10186</v>
      </c>
      <c r="BQ8" s="6" t="n">
        <v>2107</v>
      </c>
      <c r="BR8" s="6" t="n">
        <v>7758</v>
      </c>
      <c r="BS8" s="6" t="n">
        <v>1879</v>
      </c>
      <c r="BT8" s="6" t="n">
        <v>15649</v>
      </c>
      <c r="BU8" s="6" t="n">
        <v>11914</v>
      </c>
      <c r="BV8" s="6" t="n">
        <v>2</v>
      </c>
      <c r="BW8" s="6" t="n">
        <v>60</v>
      </c>
      <c r="BX8" s="6" t="n">
        <v>12</v>
      </c>
      <c r="BY8" s="6" t="n">
        <v>9208</v>
      </c>
      <c r="BZ8" s="6" t="n">
        <v>2632</v>
      </c>
      <c r="CA8" s="6" t="n">
        <v>293603</v>
      </c>
    </row>
    <row r="9" customFormat="false" ht="15" hidden="false" customHeight="false" outlineLevel="0" collapsed="false">
      <c r="A9" s="0" t="s">
        <v>226</v>
      </c>
      <c r="B9" s="6" t="n">
        <v>16410</v>
      </c>
      <c r="C9" s="6" t="n">
        <v>156</v>
      </c>
      <c r="D9" s="6" t="n">
        <v>966</v>
      </c>
      <c r="E9" s="6" t="n">
        <v>1438</v>
      </c>
      <c r="F9" s="6" t="n">
        <v>1874</v>
      </c>
      <c r="G9" s="6" t="n">
        <v>1727</v>
      </c>
      <c r="H9" s="6" t="n">
        <v>2837</v>
      </c>
      <c r="I9" s="6" t="n">
        <v>491</v>
      </c>
      <c r="J9" s="6" t="n">
        <v>2164</v>
      </c>
      <c r="K9" s="6" t="n">
        <v>1220</v>
      </c>
      <c r="L9" s="6" t="n">
        <v>3535</v>
      </c>
      <c r="M9" s="6" t="n">
        <v>3449</v>
      </c>
      <c r="N9" s="6" t="n">
        <v>2744</v>
      </c>
      <c r="O9" s="6" t="n">
        <v>704</v>
      </c>
      <c r="P9" s="6" t="n">
        <v>4247</v>
      </c>
      <c r="Q9" s="6" t="n">
        <v>2</v>
      </c>
      <c r="R9" s="6" t="n">
        <v>102</v>
      </c>
      <c r="S9" s="6" t="n">
        <v>134</v>
      </c>
      <c r="T9" s="6" t="n">
        <v>1051</v>
      </c>
      <c r="U9" s="6" t="n">
        <v>281</v>
      </c>
      <c r="V9" s="6" t="n">
        <v>115</v>
      </c>
      <c r="W9" s="6" t="n">
        <v>426</v>
      </c>
      <c r="X9" s="6" t="n">
        <v>1425</v>
      </c>
      <c r="Y9" s="6" t="n">
        <v>712</v>
      </c>
      <c r="Z9" s="6" t="n">
        <v>34552</v>
      </c>
      <c r="AA9" s="6" t="n">
        <v>200</v>
      </c>
      <c r="AB9" s="6" t="n">
        <v>34044</v>
      </c>
      <c r="AC9" s="6" t="n">
        <v>310</v>
      </c>
      <c r="AD9" s="6" t="n">
        <v>831</v>
      </c>
      <c r="AE9" s="6" t="n">
        <v>90</v>
      </c>
      <c r="AF9" s="6" t="n">
        <v>680</v>
      </c>
      <c r="AG9" s="6" t="n">
        <v>61</v>
      </c>
      <c r="AH9" s="6" t="n">
        <v>37021</v>
      </c>
      <c r="AI9" s="6" t="n">
        <v>3051</v>
      </c>
      <c r="AJ9" s="6" t="n">
        <v>1286</v>
      </c>
      <c r="AK9" s="6" t="n">
        <v>1152</v>
      </c>
      <c r="AL9" s="6" t="n">
        <v>14770</v>
      </c>
      <c r="AM9" s="6" t="n">
        <v>3861</v>
      </c>
      <c r="AN9" s="6" t="n">
        <v>3289</v>
      </c>
      <c r="AO9" s="6" t="n">
        <v>2677</v>
      </c>
      <c r="AP9" s="6" t="n">
        <v>2448</v>
      </c>
      <c r="AQ9" s="6" t="n">
        <v>4490</v>
      </c>
      <c r="AR9" s="6" t="n">
        <v>36977</v>
      </c>
      <c r="AS9" s="6" t="n">
        <v>174</v>
      </c>
      <c r="AT9" s="6" t="n">
        <v>4349</v>
      </c>
      <c r="AU9" s="6" t="n">
        <v>1678</v>
      </c>
      <c r="AV9" s="6" t="n">
        <v>3217</v>
      </c>
      <c r="AW9" s="6" t="n">
        <v>4692</v>
      </c>
      <c r="AX9" s="6" t="n">
        <v>4281</v>
      </c>
      <c r="AY9" s="6" t="n">
        <v>4050</v>
      </c>
      <c r="AZ9" s="6" t="n">
        <v>4056</v>
      </c>
      <c r="BA9" s="6" t="n">
        <v>10479</v>
      </c>
      <c r="BB9" s="6" t="n">
        <v>135405</v>
      </c>
      <c r="BC9" s="6" t="n">
        <v>5352</v>
      </c>
      <c r="BD9" s="6" t="n">
        <v>12971</v>
      </c>
      <c r="BE9" s="6" t="n">
        <v>971</v>
      </c>
      <c r="BF9" s="6" t="n">
        <v>16935</v>
      </c>
      <c r="BG9" s="6" t="n">
        <v>13204</v>
      </c>
      <c r="BH9" s="6" t="n">
        <v>17682</v>
      </c>
      <c r="BI9" s="6" t="n">
        <v>19654</v>
      </c>
      <c r="BJ9" s="6" t="n">
        <v>42876</v>
      </c>
      <c r="BK9" s="6" t="n">
        <v>5759</v>
      </c>
      <c r="BL9" s="6" t="n">
        <v>50131</v>
      </c>
      <c r="BM9" s="6" t="n">
        <v>1958</v>
      </c>
      <c r="BN9" s="6" t="n">
        <v>5647</v>
      </c>
      <c r="BO9" s="6" t="n">
        <v>1632</v>
      </c>
      <c r="BP9" s="6" t="n">
        <v>10984</v>
      </c>
      <c r="BQ9" s="6" t="n">
        <v>2411</v>
      </c>
      <c r="BR9" s="6" t="n">
        <v>8175</v>
      </c>
      <c r="BS9" s="6" t="n">
        <v>2067</v>
      </c>
      <c r="BT9" s="6" t="n">
        <v>17260</v>
      </c>
      <c r="BU9" s="6" t="n">
        <v>11211</v>
      </c>
      <c r="BV9" s="6" t="n">
        <v>4</v>
      </c>
      <c r="BW9" s="6" t="n">
        <v>56</v>
      </c>
      <c r="BX9" s="6" t="n">
        <v>11</v>
      </c>
      <c r="BY9" s="6" t="n">
        <v>6525</v>
      </c>
      <c r="BZ9" s="6" t="n">
        <v>4615</v>
      </c>
      <c r="CA9" s="6" t="n">
        <v>330234</v>
      </c>
    </row>
    <row r="10" customFormat="false" ht="15" hidden="false" customHeight="false" outlineLevel="0" collapsed="false">
      <c r="A10" s="0" t="s">
        <v>227</v>
      </c>
      <c r="B10" s="6" t="n">
        <v>19518</v>
      </c>
      <c r="C10" s="6" t="n">
        <v>167</v>
      </c>
      <c r="D10" s="6" t="n">
        <v>1070</v>
      </c>
      <c r="E10" s="6" t="n">
        <v>1809</v>
      </c>
      <c r="F10" s="6" t="n">
        <v>2449</v>
      </c>
      <c r="G10" s="6" t="n">
        <v>2011</v>
      </c>
      <c r="H10" s="6" t="n">
        <v>3163</v>
      </c>
      <c r="I10" s="6" t="n">
        <v>565</v>
      </c>
      <c r="J10" s="6" t="n">
        <v>2566</v>
      </c>
      <c r="K10" s="6" t="n">
        <v>1660</v>
      </c>
      <c r="L10" s="6" t="n">
        <v>4063</v>
      </c>
      <c r="M10" s="6" t="n">
        <v>3850</v>
      </c>
      <c r="N10" s="6" t="n">
        <v>3170</v>
      </c>
      <c r="O10" s="6" t="n">
        <v>682</v>
      </c>
      <c r="P10" s="6" t="n">
        <v>4653</v>
      </c>
      <c r="Q10" s="6" t="n">
        <v>4</v>
      </c>
      <c r="R10" s="6" t="n">
        <v>135</v>
      </c>
      <c r="S10" s="6" t="n">
        <v>148</v>
      </c>
      <c r="T10" s="6" t="n">
        <v>1444</v>
      </c>
      <c r="U10" s="6" t="n">
        <v>365</v>
      </c>
      <c r="V10" s="6" t="n">
        <v>125</v>
      </c>
      <c r="W10" s="6" t="n">
        <v>604</v>
      </c>
      <c r="X10" s="6" t="n">
        <v>945</v>
      </c>
      <c r="Y10" s="6" t="n">
        <v>881</v>
      </c>
      <c r="Z10" s="6" t="n">
        <v>65806</v>
      </c>
      <c r="AA10" s="6" t="n">
        <v>375</v>
      </c>
      <c r="AB10" s="6" t="n">
        <v>65082</v>
      </c>
      <c r="AC10" s="6" t="n">
        <v>352</v>
      </c>
      <c r="AD10" s="6" t="n">
        <v>1094</v>
      </c>
      <c r="AE10" s="6" t="n">
        <v>128</v>
      </c>
      <c r="AF10" s="6" t="n">
        <v>888</v>
      </c>
      <c r="AG10" s="6" t="n">
        <v>76</v>
      </c>
      <c r="AH10" s="6" t="n">
        <v>51393</v>
      </c>
      <c r="AI10" s="6" t="n">
        <v>3755</v>
      </c>
      <c r="AJ10" s="6" t="n">
        <v>3401</v>
      </c>
      <c r="AK10" s="6" t="n">
        <v>1267</v>
      </c>
      <c r="AL10" s="6" t="n">
        <v>19106</v>
      </c>
      <c r="AM10" s="6" t="n">
        <v>4657</v>
      </c>
      <c r="AN10" s="6" t="n">
        <v>5706</v>
      </c>
      <c r="AO10" s="6" t="n">
        <v>3148</v>
      </c>
      <c r="AP10" s="6" t="n">
        <v>2866</v>
      </c>
      <c r="AQ10" s="6" t="n">
        <v>7484</v>
      </c>
      <c r="AR10" s="6" t="n">
        <v>44021</v>
      </c>
      <c r="AS10" s="6" t="n">
        <v>202</v>
      </c>
      <c r="AT10" s="6" t="n">
        <v>5123</v>
      </c>
      <c r="AU10" s="6" t="n">
        <v>2045</v>
      </c>
      <c r="AV10" s="6" t="n">
        <v>3802</v>
      </c>
      <c r="AW10" s="6" t="n">
        <v>5323</v>
      </c>
      <c r="AX10" s="6" t="n">
        <v>4835</v>
      </c>
      <c r="AY10" s="6" t="n">
        <v>5214</v>
      </c>
      <c r="AZ10" s="6" t="n">
        <v>5023</v>
      </c>
      <c r="BA10" s="6" t="n">
        <v>12450</v>
      </c>
      <c r="BB10" s="6" t="n">
        <v>156900</v>
      </c>
      <c r="BC10" s="6" t="n">
        <v>6250</v>
      </c>
      <c r="BD10" s="6" t="n">
        <v>15810</v>
      </c>
      <c r="BE10" s="6" t="n">
        <v>1095</v>
      </c>
      <c r="BF10" s="6" t="n">
        <v>19875</v>
      </c>
      <c r="BG10" s="6" t="n">
        <v>14727</v>
      </c>
      <c r="BH10" s="6" t="n">
        <v>20341</v>
      </c>
      <c r="BI10" s="6" t="n">
        <v>23299</v>
      </c>
      <c r="BJ10" s="6" t="n">
        <v>50050</v>
      </c>
      <c r="BK10" s="6" t="n">
        <v>5454</v>
      </c>
      <c r="BL10" s="6" t="n">
        <v>57476</v>
      </c>
      <c r="BM10" s="6" t="n">
        <v>2136</v>
      </c>
      <c r="BN10" s="6" t="n">
        <v>6266</v>
      </c>
      <c r="BO10" s="6" t="n">
        <v>2203</v>
      </c>
      <c r="BP10" s="6" t="n">
        <v>12829</v>
      </c>
      <c r="BQ10" s="6" t="n">
        <v>3104</v>
      </c>
      <c r="BR10" s="6" t="n">
        <v>9104</v>
      </c>
      <c r="BS10" s="6" t="n">
        <v>2481</v>
      </c>
      <c r="BT10" s="6" t="n">
        <v>19352</v>
      </c>
      <c r="BU10" s="6" t="n">
        <v>12292</v>
      </c>
      <c r="BV10" s="6" t="n">
        <v>3</v>
      </c>
      <c r="BW10" s="6" t="n">
        <v>80</v>
      </c>
      <c r="BX10" s="6" t="n">
        <v>17</v>
      </c>
      <c r="BY10" s="6" t="n">
        <v>6959</v>
      </c>
      <c r="BZ10" s="6" t="n">
        <v>5229</v>
      </c>
      <c r="CA10" s="6" t="n">
        <v>417002</v>
      </c>
    </row>
    <row r="11" customFormat="false" ht="15" hidden="false" customHeight="false" outlineLevel="0" collapsed="false">
      <c r="A11" s="0" t="s">
        <v>228</v>
      </c>
      <c r="B11" s="6" t="n">
        <v>19684</v>
      </c>
      <c r="C11" s="6" t="n">
        <v>212</v>
      </c>
      <c r="D11" s="6" t="n">
        <v>1035</v>
      </c>
      <c r="E11" s="6" t="n">
        <v>2034</v>
      </c>
      <c r="F11" s="6" t="n">
        <v>2230</v>
      </c>
      <c r="G11" s="6" t="n">
        <v>2136</v>
      </c>
      <c r="H11" s="6" t="n">
        <v>3366</v>
      </c>
      <c r="I11" s="6" t="n">
        <v>611</v>
      </c>
      <c r="J11" s="6" t="n">
        <v>2582</v>
      </c>
      <c r="K11" s="6" t="n">
        <v>1438</v>
      </c>
      <c r="L11" s="6" t="n">
        <v>4035</v>
      </c>
      <c r="M11" s="6" t="n">
        <v>3518</v>
      </c>
      <c r="N11" s="6" t="n">
        <v>2928</v>
      </c>
      <c r="O11" s="6" t="n">
        <v>588</v>
      </c>
      <c r="P11" s="6" t="n">
        <v>3931</v>
      </c>
      <c r="Q11" s="6" t="n">
        <v>2</v>
      </c>
      <c r="R11" s="6" t="n">
        <v>120</v>
      </c>
      <c r="S11" s="6" t="n">
        <v>130</v>
      </c>
      <c r="T11" s="6" t="n">
        <v>841</v>
      </c>
      <c r="U11" s="6" t="n">
        <v>280</v>
      </c>
      <c r="V11" s="6" t="n">
        <v>119</v>
      </c>
      <c r="W11" s="6" t="n">
        <v>478</v>
      </c>
      <c r="X11" s="6" t="n">
        <v>1019</v>
      </c>
      <c r="Y11" s="6" t="n">
        <v>942</v>
      </c>
      <c r="Z11" s="6" t="n">
        <v>60651</v>
      </c>
      <c r="AA11" s="6" t="n">
        <v>306</v>
      </c>
      <c r="AB11" s="6" t="n">
        <v>60057</v>
      </c>
      <c r="AC11" s="6" t="n">
        <v>293</v>
      </c>
      <c r="AD11" s="6" t="n">
        <v>988</v>
      </c>
      <c r="AE11" s="6" t="n">
        <v>161</v>
      </c>
      <c r="AF11" s="6" t="n">
        <v>750</v>
      </c>
      <c r="AG11" s="6" t="n">
        <v>78</v>
      </c>
      <c r="AH11" s="6" t="n">
        <v>42831</v>
      </c>
      <c r="AI11" s="6" t="n">
        <v>2720</v>
      </c>
      <c r="AJ11" s="6" t="n">
        <v>2830</v>
      </c>
      <c r="AK11" s="6" t="n">
        <v>1148</v>
      </c>
      <c r="AL11" s="6" t="n">
        <v>17000</v>
      </c>
      <c r="AM11" s="6" t="n">
        <v>5168</v>
      </c>
      <c r="AN11" s="6" t="n">
        <v>3561</v>
      </c>
      <c r="AO11" s="6" t="n">
        <v>2728</v>
      </c>
      <c r="AP11" s="6" t="n">
        <v>2703</v>
      </c>
      <c r="AQ11" s="6" t="n">
        <v>4973</v>
      </c>
      <c r="AR11" s="6" t="n">
        <v>40640</v>
      </c>
      <c r="AS11" s="6" t="n">
        <v>176</v>
      </c>
      <c r="AT11" s="6" t="n">
        <v>5189</v>
      </c>
      <c r="AU11" s="6" t="n">
        <v>1733</v>
      </c>
      <c r="AV11" s="6" t="n">
        <v>3827</v>
      </c>
      <c r="AW11" s="6" t="n">
        <v>4277</v>
      </c>
      <c r="AX11" s="6" t="n">
        <v>4605</v>
      </c>
      <c r="AY11" s="6" t="n">
        <v>4746</v>
      </c>
      <c r="AZ11" s="6" t="n">
        <v>4174</v>
      </c>
      <c r="BA11" s="6" t="n">
        <v>11917</v>
      </c>
      <c r="BB11" s="6" t="n">
        <v>173355</v>
      </c>
      <c r="BC11" s="6" t="n">
        <v>7368</v>
      </c>
      <c r="BD11" s="6" t="n">
        <v>18321</v>
      </c>
      <c r="BE11" s="6" t="n">
        <v>1171</v>
      </c>
      <c r="BF11" s="6" t="n">
        <v>20852</v>
      </c>
      <c r="BG11" s="6" t="n">
        <v>12531</v>
      </c>
      <c r="BH11" s="6" t="n">
        <v>20204</v>
      </c>
      <c r="BI11" s="6" t="n">
        <v>23989</v>
      </c>
      <c r="BJ11" s="6" t="n">
        <v>62922</v>
      </c>
      <c r="BK11" s="6" t="n">
        <v>5995</v>
      </c>
      <c r="BL11" s="6" t="n">
        <v>55698</v>
      </c>
      <c r="BM11" s="6" t="n">
        <v>1960</v>
      </c>
      <c r="BN11" s="6" t="n">
        <v>5336</v>
      </c>
      <c r="BO11" s="6" t="n">
        <v>2249</v>
      </c>
      <c r="BP11" s="6" t="n">
        <v>12165</v>
      </c>
      <c r="BQ11" s="6" t="n">
        <v>2886</v>
      </c>
      <c r="BR11" s="6" t="n">
        <v>10010</v>
      </c>
      <c r="BS11" s="6" t="n">
        <v>2601</v>
      </c>
      <c r="BT11" s="6" t="n">
        <v>18494</v>
      </c>
      <c r="BU11" s="6" t="n">
        <v>12575</v>
      </c>
      <c r="BV11" s="6" t="n">
        <v>6</v>
      </c>
      <c r="BW11" s="6" t="n">
        <v>66</v>
      </c>
      <c r="BX11" s="6" t="n">
        <v>19</v>
      </c>
      <c r="BY11" s="6" t="n">
        <v>8565</v>
      </c>
      <c r="BZ11" s="6" t="n">
        <v>3917</v>
      </c>
      <c r="CA11" s="6" t="n">
        <v>413869</v>
      </c>
    </row>
    <row r="12" customFormat="false" ht="15" hidden="false" customHeight="false" outlineLevel="0" collapsed="false">
      <c r="A12" s="0" t="s">
        <v>229</v>
      </c>
      <c r="B12" s="6" t="n">
        <v>22293</v>
      </c>
      <c r="C12" s="6" t="n">
        <v>201</v>
      </c>
      <c r="D12" s="6" t="n">
        <v>1251</v>
      </c>
      <c r="E12" s="6" t="n">
        <v>1935</v>
      </c>
      <c r="F12" s="6" t="n">
        <v>2405</v>
      </c>
      <c r="G12" s="6" t="n">
        <v>2526</v>
      </c>
      <c r="H12" s="6" t="n">
        <v>3913</v>
      </c>
      <c r="I12" s="6" t="n">
        <v>688</v>
      </c>
      <c r="J12" s="6" t="n">
        <v>3250</v>
      </c>
      <c r="K12" s="6" t="n">
        <v>1647</v>
      </c>
      <c r="L12" s="6" t="n">
        <v>4477</v>
      </c>
      <c r="M12" s="6" t="n">
        <v>3349</v>
      </c>
      <c r="N12" s="6" t="n">
        <v>2906</v>
      </c>
      <c r="O12" s="6" t="n">
        <v>441</v>
      </c>
      <c r="P12" s="6" t="n">
        <v>4119</v>
      </c>
      <c r="Q12" s="6" t="n">
        <v>6</v>
      </c>
      <c r="R12" s="6" t="n">
        <v>151</v>
      </c>
      <c r="S12" s="6" t="n">
        <v>141</v>
      </c>
      <c r="T12" s="6" t="n">
        <v>917</v>
      </c>
      <c r="U12" s="6" t="n">
        <v>276</v>
      </c>
      <c r="V12" s="6" t="n">
        <v>121</v>
      </c>
      <c r="W12" s="6" t="n">
        <v>362</v>
      </c>
      <c r="X12" s="6" t="n">
        <v>1143</v>
      </c>
      <c r="Y12" s="6" t="n">
        <v>1006</v>
      </c>
      <c r="Z12" s="6" t="n">
        <v>56749</v>
      </c>
      <c r="AA12" s="6" t="n">
        <v>260</v>
      </c>
      <c r="AB12" s="6" t="n">
        <v>56183</v>
      </c>
      <c r="AC12" s="6" t="n">
        <v>306</v>
      </c>
      <c r="AD12" s="6" t="n">
        <v>1257</v>
      </c>
      <c r="AE12" s="6" t="n">
        <v>204</v>
      </c>
      <c r="AF12" s="6" t="n">
        <v>973</v>
      </c>
      <c r="AG12" s="6" t="n">
        <v>78</v>
      </c>
      <c r="AH12" s="6" t="n">
        <v>45032</v>
      </c>
      <c r="AI12" s="6" t="n">
        <v>2723</v>
      </c>
      <c r="AJ12" s="6" t="n">
        <v>2683</v>
      </c>
      <c r="AK12" s="6" t="n">
        <v>1265</v>
      </c>
      <c r="AL12" s="6" t="n">
        <v>17012</v>
      </c>
      <c r="AM12" s="6" t="n">
        <v>5568</v>
      </c>
      <c r="AN12" s="6" t="n">
        <v>4652</v>
      </c>
      <c r="AO12" s="6" t="n">
        <v>2957</v>
      </c>
      <c r="AP12" s="6" t="n">
        <v>2840</v>
      </c>
      <c r="AQ12" s="6" t="n">
        <v>5337</v>
      </c>
      <c r="AR12" s="6" t="n">
        <v>43611</v>
      </c>
      <c r="AS12" s="6" t="n">
        <v>151</v>
      </c>
      <c r="AT12" s="6" t="n">
        <v>5553</v>
      </c>
      <c r="AU12" s="6" t="n">
        <v>1776</v>
      </c>
      <c r="AV12" s="6" t="n">
        <v>4210</v>
      </c>
      <c r="AW12" s="6" t="n">
        <v>4547</v>
      </c>
      <c r="AX12" s="6" t="n">
        <v>4461</v>
      </c>
      <c r="AY12" s="6" t="n">
        <v>5952</v>
      </c>
      <c r="AZ12" s="6" t="n">
        <v>4285</v>
      </c>
      <c r="BA12" s="6" t="n">
        <v>12677</v>
      </c>
      <c r="BB12" s="6" t="n">
        <v>180686</v>
      </c>
      <c r="BC12" s="6" t="n">
        <v>7929</v>
      </c>
      <c r="BD12" s="6" t="n">
        <v>15321</v>
      </c>
      <c r="BE12" s="6" t="n">
        <v>1101</v>
      </c>
      <c r="BF12" s="6" t="n">
        <v>23737</v>
      </c>
      <c r="BG12" s="6" t="n">
        <v>14902</v>
      </c>
      <c r="BH12" s="6" t="n">
        <v>20144</v>
      </c>
      <c r="BI12" s="6" t="n">
        <v>28336</v>
      </c>
      <c r="BJ12" s="6" t="n">
        <v>62025</v>
      </c>
      <c r="BK12" s="6" t="n">
        <v>7195</v>
      </c>
      <c r="BL12" s="6" t="n">
        <v>59310</v>
      </c>
      <c r="BM12" s="6" t="n">
        <v>1973</v>
      </c>
      <c r="BN12" s="6" t="n">
        <v>5994</v>
      </c>
      <c r="BO12" s="6" t="n">
        <v>2216</v>
      </c>
      <c r="BP12" s="6" t="n">
        <v>12814</v>
      </c>
      <c r="BQ12" s="6" t="n">
        <v>2948</v>
      </c>
      <c r="BR12" s="6" t="n">
        <v>10288</v>
      </c>
      <c r="BS12" s="6" t="n">
        <v>2713</v>
      </c>
      <c r="BT12" s="6" t="n">
        <v>20362</v>
      </c>
      <c r="BU12" s="6" t="n">
        <v>13470</v>
      </c>
      <c r="BV12" s="6" t="n">
        <v>1</v>
      </c>
      <c r="BW12" s="6" t="n">
        <v>57</v>
      </c>
      <c r="BX12" s="6" t="n">
        <v>18</v>
      </c>
      <c r="BY12" s="6" t="n">
        <v>9876</v>
      </c>
      <c r="BZ12" s="6" t="n">
        <v>3513</v>
      </c>
      <c r="CA12" s="6" t="n">
        <v>429873</v>
      </c>
    </row>
    <row r="13" customFormat="false" ht="15" hidden="false" customHeight="false" outlineLevel="0" collapsed="false">
      <c r="A13" s="0" t="s">
        <v>230</v>
      </c>
      <c r="B13" s="6" t="n">
        <v>24515</v>
      </c>
      <c r="C13" s="6" t="n">
        <v>190</v>
      </c>
      <c r="D13" s="6" t="n">
        <v>1252</v>
      </c>
      <c r="E13" s="6" t="n">
        <v>2295</v>
      </c>
      <c r="F13" s="6" t="n">
        <v>2548</v>
      </c>
      <c r="G13" s="6" t="n">
        <v>2618</v>
      </c>
      <c r="H13" s="6" t="n">
        <v>4138</v>
      </c>
      <c r="I13" s="6" t="n">
        <v>715</v>
      </c>
      <c r="J13" s="6" t="n">
        <v>4510</v>
      </c>
      <c r="K13" s="6" t="n">
        <v>1518</v>
      </c>
      <c r="L13" s="6" t="n">
        <v>4731</v>
      </c>
      <c r="M13" s="6" t="n">
        <v>3378</v>
      </c>
      <c r="N13" s="6" t="n">
        <v>2913</v>
      </c>
      <c r="O13" s="6" t="n">
        <v>463</v>
      </c>
      <c r="P13" s="6" t="n">
        <v>5285</v>
      </c>
      <c r="Q13" s="6" t="n">
        <v>7</v>
      </c>
      <c r="R13" s="6" t="n">
        <v>145</v>
      </c>
      <c r="S13" s="6" t="n">
        <v>142</v>
      </c>
      <c r="T13" s="6" t="n">
        <v>953</v>
      </c>
      <c r="U13" s="6" t="n">
        <v>270</v>
      </c>
      <c r="V13" s="6" t="n">
        <v>127</v>
      </c>
      <c r="W13" s="6" t="n">
        <v>481</v>
      </c>
      <c r="X13" s="6" t="n">
        <v>2129</v>
      </c>
      <c r="Y13" s="6" t="n">
        <v>1030</v>
      </c>
      <c r="Z13" s="6" t="n">
        <v>53258</v>
      </c>
      <c r="AA13" s="6" t="n">
        <v>197</v>
      </c>
      <c r="AB13" s="6" t="n">
        <v>52742</v>
      </c>
      <c r="AC13" s="6" t="n">
        <v>317</v>
      </c>
      <c r="AD13" s="6" t="n">
        <v>1282</v>
      </c>
      <c r="AE13" s="6" t="n">
        <v>135</v>
      </c>
      <c r="AF13" s="6" t="n">
        <v>1052</v>
      </c>
      <c r="AG13" s="6" t="n">
        <v>94</v>
      </c>
      <c r="AH13" s="6" t="n">
        <v>47675</v>
      </c>
      <c r="AI13" s="6" t="n">
        <v>2807</v>
      </c>
      <c r="AJ13" s="6" t="n">
        <v>2888</v>
      </c>
      <c r="AK13" s="6" t="n">
        <v>1234</v>
      </c>
      <c r="AL13" s="6" t="n">
        <v>18490</v>
      </c>
      <c r="AM13" s="6" t="n">
        <v>5842</v>
      </c>
      <c r="AN13" s="6" t="n">
        <v>5109</v>
      </c>
      <c r="AO13" s="6" t="n">
        <v>2795</v>
      </c>
      <c r="AP13" s="6" t="n">
        <v>3004</v>
      </c>
      <c r="AQ13" s="6" t="n">
        <v>5504</v>
      </c>
      <c r="AR13" s="6" t="n">
        <v>45872</v>
      </c>
      <c r="AS13" s="6" t="n">
        <v>150</v>
      </c>
      <c r="AT13" s="6" t="n">
        <v>5746</v>
      </c>
      <c r="AU13" s="6" t="n">
        <v>1879</v>
      </c>
      <c r="AV13" s="6" t="n">
        <v>4117</v>
      </c>
      <c r="AW13" s="6" t="n">
        <v>4729</v>
      </c>
      <c r="AX13" s="6" t="n">
        <v>4671</v>
      </c>
      <c r="AY13" s="6" t="n">
        <v>5364</v>
      </c>
      <c r="AZ13" s="6" t="n">
        <v>5583</v>
      </c>
      <c r="BA13" s="6" t="n">
        <v>13641</v>
      </c>
      <c r="BB13" s="6" t="n">
        <v>190956</v>
      </c>
      <c r="BC13" s="6" t="n">
        <v>8883</v>
      </c>
      <c r="BD13" s="6" t="n">
        <v>14643</v>
      </c>
      <c r="BE13" s="6" t="n">
        <v>1058</v>
      </c>
      <c r="BF13" s="6" t="n">
        <v>23637</v>
      </c>
      <c r="BG13" s="6" t="n">
        <v>19183</v>
      </c>
      <c r="BH13" s="6" t="n">
        <v>21727</v>
      </c>
      <c r="BI13" s="6" t="n">
        <v>32803</v>
      </c>
      <c r="BJ13" s="6" t="n">
        <v>59473</v>
      </c>
      <c r="BK13" s="6" t="n">
        <v>9546</v>
      </c>
      <c r="BL13" s="6" t="n">
        <v>63028</v>
      </c>
      <c r="BM13" s="6" t="n">
        <v>2011</v>
      </c>
      <c r="BN13" s="6" t="n">
        <v>6346</v>
      </c>
      <c r="BO13" s="6" t="n">
        <v>2225</v>
      </c>
      <c r="BP13" s="6" t="n">
        <v>13100</v>
      </c>
      <c r="BQ13" s="6" t="n">
        <v>3120</v>
      </c>
      <c r="BR13" s="6" t="n">
        <v>10829</v>
      </c>
      <c r="BS13" s="6" t="n">
        <v>2808</v>
      </c>
      <c r="BT13" s="6" t="n">
        <v>22590</v>
      </c>
      <c r="BU13" s="6" t="n">
        <v>25622</v>
      </c>
      <c r="BV13" s="6" t="n">
        <v>6</v>
      </c>
      <c r="BW13" s="6" t="n">
        <v>71</v>
      </c>
      <c r="BX13" s="6" t="n">
        <v>22</v>
      </c>
      <c r="BY13" s="6" t="n">
        <v>20614</v>
      </c>
      <c r="BZ13" s="6" t="n">
        <v>4904</v>
      </c>
      <c r="CA13" s="6" t="n">
        <v>460866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8"/>
    <col collapsed="false" customWidth="true" hidden="false" outlineLevel="0" max="5" min="5" style="0" width="58"/>
    <col collapsed="false" customWidth="true" hidden="false" outlineLevel="0" max="7" min="6" style="0" width="12"/>
    <col collapsed="false" customWidth="true" hidden="false" outlineLevel="0" max="8" min="8" style="0" width="18"/>
  </cols>
  <sheetData>
    <row r="1" customFormat="false" ht="15" hidden="false" customHeight="false" outlineLevel="0" collapsed="false">
      <c r="A1" s="3" t="s">
        <v>310</v>
      </c>
      <c r="B1" s="3" t="s">
        <v>59</v>
      </c>
      <c r="C1" s="3" t="s">
        <v>311</v>
      </c>
      <c r="D1" s="3" t="s">
        <v>312</v>
      </c>
      <c r="E1" s="3" t="s">
        <v>313</v>
      </c>
      <c r="F1" s="3" t="s">
        <v>140</v>
      </c>
      <c r="G1" s="3" t="s">
        <v>142</v>
      </c>
      <c r="H1" s="3" t="s">
        <v>314</v>
      </c>
    </row>
    <row r="2" customFormat="false" ht="15" hidden="false" customHeight="false" outlineLevel="0" collapsed="false">
      <c r="A2" s="0" t="s">
        <v>61</v>
      </c>
      <c r="B2" s="0" t="n">
        <v>2016</v>
      </c>
      <c r="C2" s="0" t="s">
        <v>315</v>
      </c>
      <c r="D2" s="0" t="s">
        <v>316</v>
      </c>
      <c r="E2" s="0" t="s">
        <v>317</v>
      </c>
      <c r="F2" s="0" t="s">
        <v>141</v>
      </c>
      <c r="G2" s="0" t="s">
        <v>143</v>
      </c>
      <c r="H2" s="6" t="n">
        <f aca="false">'Export-dataset'!B4</f>
        <v>32621</v>
      </c>
    </row>
    <row r="3" customFormat="false" ht="15" hidden="false" customHeight="false" outlineLevel="0" collapsed="false">
      <c r="A3" s="0" t="s">
        <v>61</v>
      </c>
      <c r="B3" s="0" t="n">
        <v>2017</v>
      </c>
      <c r="C3" s="0" t="s">
        <v>315</v>
      </c>
      <c r="D3" s="0" t="s">
        <v>316</v>
      </c>
      <c r="E3" s="0" t="s">
        <v>317</v>
      </c>
      <c r="F3" s="0" t="s">
        <v>141</v>
      </c>
      <c r="G3" s="0" t="s">
        <v>143</v>
      </c>
      <c r="H3" s="6" t="n">
        <f aca="false">'Export-dataset'!B5</f>
        <v>36596</v>
      </c>
    </row>
    <row r="4" customFormat="false" ht="15" hidden="false" customHeight="false" outlineLevel="0" collapsed="false">
      <c r="A4" s="0" t="s">
        <v>61</v>
      </c>
      <c r="B4" s="0" t="n">
        <v>2018</v>
      </c>
      <c r="C4" s="0" t="s">
        <v>315</v>
      </c>
      <c r="D4" s="0" t="s">
        <v>316</v>
      </c>
      <c r="E4" s="0" t="s">
        <v>317</v>
      </c>
      <c r="F4" s="0" t="s">
        <v>141</v>
      </c>
      <c r="G4" s="0" t="s">
        <v>143</v>
      </c>
      <c r="H4" s="6" t="n">
        <f aca="false">'Export-dataset'!B6</f>
        <v>35271</v>
      </c>
    </row>
    <row r="5" customFormat="false" ht="15" hidden="false" customHeight="false" outlineLevel="0" collapsed="false">
      <c r="A5" s="0" t="s">
        <v>61</v>
      </c>
      <c r="B5" s="0" t="n">
        <v>2019</v>
      </c>
      <c r="C5" s="0" t="s">
        <v>315</v>
      </c>
      <c r="D5" s="0" t="s">
        <v>316</v>
      </c>
      <c r="E5" s="0" t="s">
        <v>317</v>
      </c>
      <c r="F5" s="0" t="s">
        <v>141</v>
      </c>
      <c r="G5" s="0" t="s">
        <v>143</v>
      </c>
      <c r="H5" s="6" t="n">
        <f aca="false">'Export-dataset'!B7</f>
        <v>37649</v>
      </c>
    </row>
    <row r="6" customFormat="false" ht="15" hidden="false" customHeight="false" outlineLevel="0" collapsed="false">
      <c r="A6" s="0" t="s">
        <v>61</v>
      </c>
      <c r="B6" s="0" t="n">
        <v>2020</v>
      </c>
      <c r="C6" s="0" t="s">
        <v>315</v>
      </c>
      <c r="D6" s="0" t="s">
        <v>316</v>
      </c>
      <c r="E6" s="0" t="s">
        <v>317</v>
      </c>
      <c r="F6" s="0" t="s">
        <v>141</v>
      </c>
      <c r="G6" s="0" t="s">
        <v>143</v>
      </c>
      <c r="H6" s="6" t="n">
        <f aca="false">'Export-dataset'!B8</f>
        <v>35628</v>
      </c>
    </row>
    <row r="7" customFormat="false" ht="15" hidden="false" customHeight="false" outlineLevel="0" collapsed="false">
      <c r="A7" s="0" t="s">
        <v>61</v>
      </c>
      <c r="B7" s="0" t="n">
        <v>2021</v>
      </c>
      <c r="C7" s="0" t="s">
        <v>315</v>
      </c>
      <c r="D7" s="0" t="s">
        <v>316</v>
      </c>
      <c r="E7" s="0" t="s">
        <v>317</v>
      </c>
      <c r="F7" s="0" t="s">
        <v>141</v>
      </c>
      <c r="G7" s="0" t="s">
        <v>143</v>
      </c>
      <c r="H7" s="6" t="n">
        <f aca="false">'Export-dataset'!B9</f>
        <v>43540</v>
      </c>
    </row>
    <row r="8" customFormat="false" ht="15" hidden="false" customHeight="false" outlineLevel="0" collapsed="false">
      <c r="A8" s="0" t="s">
        <v>61</v>
      </c>
      <c r="B8" s="0" t="n">
        <v>2022</v>
      </c>
      <c r="C8" s="0" t="s">
        <v>315</v>
      </c>
      <c r="D8" s="0" t="s">
        <v>316</v>
      </c>
      <c r="E8" s="0" t="s">
        <v>317</v>
      </c>
      <c r="F8" s="0" t="s">
        <v>141</v>
      </c>
      <c r="G8" s="0" t="s">
        <v>143</v>
      </c>
      <c r="H8" s="6" t="n">
        <f aca="false">'Export-dataset'!B10</f>
        <v>53122</v>
      </c>
    </row>
    <row r="9" customFormat="false" ht="15" hidden="false" customHeight="false" outlineLevel="0" collapsed="false">
      <c r="A9" s="0" t="s">
        <v>61</v>
      </c>
      <c r="B9" s="0" t="n">
        <v>2023</v>
      </c>
      <c r="C9" s="0" t="s">
        <v>315</v>
      </c>
      <c r="D9" s="0" t="s">
        <v>316</v>
      </c>
      <c r="E9" s="0" t="s">
        <v>317</v>
      </c>
      <c r="F9" s="0" t="s">
        <v>141</v>
      </c>
      <c r="G9" s="0" t="s">
        <v>143</v>
      </c>
      <c r="H9" s="6" t="n">
        <f aca="false">'Export-dataset'!B11</f>
        <v>54749</v>
      </c>
    </row>
    <row r="10" customFormat="false" ht="15" hidden="false" customHeight="false" outlineLevel="0" collapsed="false">
      <c r="A10" s="0" t="s">
        <v>61</v>
      </c>
      <c r="B10" s="0" t="n">
        <v>2024</v>
      </c>
      <c r="C10" s="0" t="s">
        <v>315</v>
      </c>
      <c r="D10" s="0" t="s">
        <v>316</v>
      </c>
      <c r="E10" s="0" t="s">
        <v>317</v>
      </c>
      <c r="F10" s="0" t="s">
        <v>141</v>
      </c>
      <c r="G10" s="0" t="s">
        <v>143</v>
      </c>
      <c r="H10" s="6" t="n">
        <f aca="false">'Export-dataset'!B12</f>
        <v>52562</v>
      </c>
    </row>
    <row r="11" customFormat="false" ht="15" hidden="false" customHeight="false" outlineLevel="0" collapsed="false">
      <c r="A11" s="0" t="s">
        <v>61</v>
      </c>
      <c r="B11" s="0" t="n">
        <v>2025</v>
      </c>
      <c r="C11" s="0" t="s">
        <v>315</v>
      </c>
      <c r="D11" s="0" t="s">
        <v>316</v>
      </c>
      <c r="E11" s="0" t="s">
        <v>317</v>
      </c>
      <c r="F11" s="0" t="s">
        <v>141</v>
      </c>
      <c r="G11" s="0" t="s">
        <v>143</v>
      </c>
      <c r="H11" s="6" t="n">
        <f aca="false">'Export-dataset'!B13</f>
        <v>62043</v>
      </c>
    </row>
    <row r="12" customFormat="false" ht="15" hidden="false" customHeight="false" outlineLevel="0" collapsed="false">
      <c r="A12" s="0" t="s">
        <v>61</v>
      </c>
      <c r="B12" s="0" t="n">
        <v>2016</v>
      </c>
      <c r="C12" s="0" t="s">
        <v>318</v>
      </c>
      <c r="D12" s="0" t="s">
        <v>319</v>
      </c>
      <c r="E12" s="0" t="s">
        <v>320</v>
      </c>
      <c r="F12" s="0" t="s">
        <v>141</v>
      </c>
      <c r="G12" s="0" t="s">
        <v>144</v>
      </c>
      <c r="H12" s="6" t="n">
        <f aca="false">'Export-dataset'!C4</f>
        <v>1874</v>
      </c>
    </row>
    <row r="13" customFormat="false" ht="15" hidden="false" customHeight="false" outlineLevel="0" collapsed="false">
      <c r="A13" s="0" t="s">
        <v>61</v>
      </c>
      <c r="B13" s="0" t="n">
        <v>2017</v>
      </c>
      <c r="C13" s="0" t="s">
        <v>318</v>
      </c>
      <c r="D13" s="0" t="s">
        <v>319</v>
      </c>
      <c r="E13" s="0" t="s">
        <v>320</v>
      </c>
      <c r="F13" s="0" t="s">
        <v>141</v>
      </c>
      <c r="G13" s="0" t="s">
        <v>144</v>
      </c>
      <c r="H13" s="6" t="n">
        <f aca="false">'Export-dataset'!C5</f>
        <v>1618</v>
      </c>
    </row>
    <row r="14" customFormat="false" ht="15" hidden="false" customHeight="false" outlineLevel="0" collapsed="false">
      <c r="A14" s="0" t="s">
        <v>61</v>
      </c>
      <c r="B14" s="0" t="n">
        <v>2018</v>
      </c>
      <c r="C14" s="0" t="s">
        <v>318</v>
      </c>
      <c r="D14" s="0" t="s">
        <v>319</v>
      </c>
      <c r="E14" s="0" t="s">
        <v>320</v>
      </c>
      <c r="F14" s="0" t="s">
        <v>141</v>
      </c>
      <c r="G14" s="0" t="s">
        <v>144</v>
      </c>
      <c r="H14" s="6" t="n">
        <f aca="false">'Export-dataset'!C6</f>
        <v>1825</v>
      </c>
    </row>
    <row r="15" customFormat="false" ht="15" hidden="false" customHeight="false" outlineLevel="0" collapsed="false">
      <c r="A15" s="0" t="s">
        <v>61</v>
      </c>
      <c r="B15" s="0" t="n">
        <v>2019</v>
      </c>
      <c r="C15" s="0" t="s">
        <v>318</v>
      </c>
      <c r="D15" s="0" t="s">
        <v>319</v>
      </c>
      <c r="E15" s="0" t="s">
        <v>320</v>
      </c>
      <c r="F15" s="0" t="s">
        <v>141</v>
      </c>
      <c r="G15" s="0" t="s">
        <v>144</v>
      </c>
      <c r="H15" s="6" t="n">
        <f aca="false">'Export-dataset'!C7</f>
        <v>2126</v>
      </c>
    </row>
    <row r="16" customFormat="false" ht="15" hidden="false" customHeight="false" outlineLevel="0" collapsed="false">
      <c r="A16" s="0" t="s">
        <v>61</v>
      </c>
      <c r="B16" s="0" t="n">
        <v>2020</v>
      </c>
      <c r="C16" s="0" t="s">
        <v>318</v>
      </c>
      <c r="D16" s="0" t="s">
        <v>319</v>
      </c>
      <c r="E16" s="0" t="s">
        <v>320</v>
      </c>
      <c r="F16" s="0" t="s">
        <v>141</v>
      </c>
      <c r="G16" s="0" t="s">
        <v>144</v>
      </c>
      <c r="H16" s="6" t="n">
        <f aca="false">'Export-dataset'!C8</f>
        <v>1949</v>
      </c>
    </row>
    <row r="17" customFormat="false" ht="15" hidden="false" customHeight="false" outlineLevel="0" collapsed="false">
      <c r="A17" s="0" t="s">
        <v>61</v>
      </c>
      <c r="B17" s="0" t="n">
        <v>2021</v>
      </c>
      <c r="C17" s="0" t="s">
        <v>318</v>
      </c>
      <c r="D17" s="0" t="s">
        <v>319</v>
      </c>
      <c r="E17" s="0" t="s">
        <v>320</v>
      </c>
      <c r="F17" s="0" t="s">
        <v>141</v>
      </c>
      <c r="G17" s="0" t="s">
        <v>144</v>
      </c>
      <c r="H17" s="6" t="n">
        <f aca="false">'Export-dataset'!C9</f>
        <v>1646</v>
      </c>
    </row>
    <row r="18" customFormat="false" ht="15" hidden="false" customHeight="false" outlineLevel="0" collapsed="false">
      <c r="A18" s="0" t="s">
        <v>61</v>
      </c>
      <c r="B18" s="0" t="n">
        <v>2022</v>
      </c>
      <c r="C18" s="0" t="s">
        <v>318</v>
      </c>
      <c r="D18" s="0" t="s">
        <v>319</v>
      </c>
      <c r="E18" s="0" t="s">
        <v>320</v>
      </c>
      <c r="F18" s="0" t="s">
        <v>141</v>
      </c>
      <c r="G18" s="0" t="s">
        <v>144</v>
      </c>
      <c r="H18" s="6" t="n">
        <f aca="false">'Export-dataset'!C10</f>
        <v>1518</v>
      </c>
    </row>
    <row r="19" customFormat="false" ht="15" hidden="false" customHeight="false" outlineLevel="0" collapsed="false">
      <c r="A19" s="0" t="s">
        <v>61</v>
      </c>
      <c r="B19" s="0" t="n">
        <v>2023</v>
      </c>
      <c r="C19" s="0" t="s">
        <v>318</v>
      </c>
      <c r="D19" s="0" t="s">
        <v>319</v>
      </c>
      <c r="E19" s="0" t="s">
        <v>320</v>
      </c>
      <c r="F19" s="0" t="s">
        <v>141</v>
      </c>
      <c r="G19" s="0" t="s">
        <v>144</v>
      </c>
      <c r="H19" s="6" t="n">
        <f aca="false">'Export-dataset'!C11</f>
        <v>1236</v>
      </c>
    </row>
    <row r="20" customFormat="false" ht="15" hidden="false" customHeight="false" outlineLevel="0" collapsed="false">
      <c r="A20" s="0" t="s">
        <v>61</v>
      </c>
      <c r="B20" s="0" t="n">
        <v>2024</v>
      </c>
      <c r="C20" s="0" t="s">
        <v>318</v>
      </c>
      <c r="D20" s="0" t="s">
        <v>319</v>
      </c>
      <c r="E20" s="0" t="s">
        <v>320</v>
      </c>
      <c r="F20" s="0" t="s">
        <v>141</v>
      </c>
      <c r="G20" s="0" t="s">
        <v>144</v>
      </c>
      <c r="H20" s="6" t="n">
        <f aca="false">'Export-dataset'!C12</f>
        <v>1117</v>
      </c>
    </row>
    <row r="21" customFormat="false" ht="15" hidden="false" customHeight="false" outlineLevel="0" collapsed="false">
      <c r="A21" s="0" t="s">
        <v>61</v>
      </c>
      <c r="B21" s="0" t="n">
        <v>2025</v>
      </c>
      <c r="C21" s="0" t="s">
        <v>318</v>
      </c>
      <c r="D21" s="0" t="s">
        <v>319</v>
      </c>
      <c r="E21" s="0" t="s">
        <v>320</v>
      </c>
      <c r="F21" s="0" t="s">
        <v>141</v>
      </c>
      <c r="G21" s="0" t="s">
        <v>144</v>
      </c>
      <c r="H21" s="6" t="n">
        <f aca="false">'Export-dataset'!C13</f>
        <v>1299</v>
      </c>
    </row>
    <row r="22" customFormat="false" ht="15" hidden="false" customHeight="false" outlineLevel="0" collapsed="false">
      <c r="A22" s="0" t="s">
        <v>61</v>
      </c>
      <c r="B22" s="0" t="n">
        <v>2016</v>
      </c>
      <c r="C22" s="0" t="s">
        <v>321</v>
      </c>
      <c r="D22" s="0" t="s">
        <v>319</v>
      </c>
      <c r="E22" s="0" t="s">
        <v>322</v>
      </c>
      <c r="F22" s="0" t="s">
        <v>141</v>
      </c>
      <c r="G22" s="0" t="s">
        <v>145</v>
      </c>
      <c r="H22" s="6" t="n">
        <f aca="false">'Export-dataset'!D4</f>
        <v>11088</v>
      </c>
    </row>
    <row r="23" customFormat="false" ht="15" hidden="false" customHeight="false" outlineLevel="0" collapsed="false">
      <c r="A23" s="0" t="s">
        <v>61</v>
      </c>
      <c r="B23" s="0" t="n">
        <v>2017</v>
      </c>
      <c r="C23" s="0" t="s">
        <v>321</v>
      </c>
      <c r="D23" s="0" t="s">
        <v>319</v>
      </c>
      <c r="E23" s="0" t="s">
        <v>322</v>
      </c>
      <c r="F23" s="0" t="s">
        <v>141</v>
      </c>
      <c r="G23" s="0" t="s">
        <v>145</v>
      </c>
      <c r="H23" s="6" t="n">
        <f aca="false">'Export-dataset'!D5</f>
        <v>11834</v>
      </c>
    </row>
    <row r="24" customFormat="false" ht="15" hidden="false" customHeight="false" outlineLevel="0" collapsed="false">
      <c r="A24" s="0" t="s">
        <v>61</v>
      </c>
      <c r="B24" s="0" t="n">
        <v>2018</v>
      </c>
      <c r="C24" s="0" t="s">
        <v>321</v>
      </c>
      <c r="D24" s="0" t="s">
        <v>319</v>
      </c>
      <c r="E24" s="0" t="s">
        <v>322</v>
      </c>
      <c r="F24" s="0" t="s">
        <v>141</v>
      </c>
      <c r="G24" s="0" t="s">
        <v>145</v>
      </c>
      <c r="H24" s="6" t="n">
        <f aca="false">'Export-dataset'!D6</f>
        <v>13605</v>
      </c>
    </row>
    <row r="25" customFormat="false" ht="15" hidden="false" customHeight="false" outlineLevel="0" collapsed="false">
      <c r="A25" s="0" t="s">
        <v>61</v>
      </c>
      <c r="B25" s="0" t="n">
        <v>2019</v>
      </c>
      <c r="C25" s="0" t="s">
        <v>321</v>
      </c>
      <c r="D25" s="0" t="s">
        <v>319</v>
      </c>
      <c r="E25" s="0" t="s">
        <v>322</v>
      </c>
      <c r="F25" s="0" t="s">
        <v>141</v>
      </c>
      <c r="G25" s="0" t="s">
        <v>145</v>
      </c>
      <c r="H25" s="6" t="n">
        <f aca="false">'Export-dataset'!D7</f>
        <v>16462</v>
      </c>
    </row>
    <row r="26" customFormat="false" ht="15" hidden="false" customHeight="false" outlineLevel="0" collapsed="false">
      <c r="A26" s="0" t="s">
        <v>61</v>
      </c>
      <c r="B26" s="0" t="n">
        <v>2020</v>
      </c>
      <c r="C26" s="0" t="s">
        <v>321</v>
      </c>
      <c r="D26" s="0" t="s">
        <v>319</v>
      </c>
      <c r="E26" s="0" t="s">
        <v>322</v>
      </c>
      <c r="F26" s="0" t="s">
        <v>141</v>
      </c>
      <c r="G26" s="0" t="s">
        <v>145</v>
      </c>
      <c r="H26" s="6" t="n">
        <f aca="false">'Export-dataset'!D8</f>
        <v>14705</v>
      </c>
    </row>
    <row r="27" customFormat="false" ht="15" hidden="false" customHeight="false" outlineLevel="0" collapsed="false">
      <c r="A27" s="0" t="s">
        <v>61</v>
      </c>
      <c r="B27" s="0" t="n">
        <v>2021</v>
      </c>
      <c r="C27" s="0" t="s">
        <v>321</v>
      </c>
      <c r="D27" s="0" t="s">
        <v>319</v>
      </c>
      <c r="E27" s="0" t="s">
        <v>322</v>
      </c>
      <c r="F27" s="0" t="s">
        <v>141</v>
      </c>
      <c r="G27" s="0" t="s">
        <v>145</v>
      </c>
      <c r="H27" s="6" t="n">
        <f aca="false">'Export-dataset'!D9</f>
        <v>14801</v>
      </c>
    </row>
    <row r="28" customFormat="false" ht="15" hidden="false" customHeight="false" outlineLevel="0" collapsed="false">
      <c r="A28" s="0" t="s">
        <v>61</v>
      </c>
      <c r="B28" s="0" t="n">
        <v>2022</v>
      </c>
      <c r="C28" s="0" t="s">
        <v>321</v>
      </c>
      <c r="D28" s="0" t="s">
        <v>319</v>
      </c>
      <c r="E28" s="0" t="s">
        <v>322</v>
      </c>
      <c r="F28" s="0" t="s">
        <v>141</v>
      </c>
      <c r="G28" s="0" t="s">
        <v>145</v>
      </c>
      <c r="H28" s="6" t="n">
        <f aca="false">'Export-dataset'!D10</f>
        <v>16600</v>
      </c>
    </row>
    <row r="29" customFormat="false" ht="15" hidden="false" customHeight="false" outlineLevel="0" collapsed="false">
      <c r="A29" s="0" t="s">
        <v>61</v>
      </c>
      <c r="B29" s="0" t="n">
        <v>2023</v>
      </c>
      <c r="C29" s="0" t="s">
        <v>321</v>
      </c>
      <c r="D29" s="0" t="s">
        <v>319</v>
      </c>
      <c r="E29" s="0" t="s">
        <v>322</v>
      </c>
      <c r="F29" s="0" t="s">
        <v>141</v>
      </c>
      <c r="G29" s="0" t="s">
        <v>145</v>
      </c>
      <c r="H29" s="6" t="n">
        <f aca="false">'Export-dataset'!D11</f>
        <v>17798</v>
      </c>
    </row>
    <row r="30" customFormat="false" ht="15" hidden="false" customHeight="false" outlineLevel="0" collapsed="false">
      <c r="A30" s="0" t="s">
        <v>61</v>
      </c>
      <c r="B30" s="0" t="n">
        <v>2024</v>
      </c>
      <c r="C30" s="0" t="s">
        <v>321</v>
      </c>
      <c r="D30" s="0" t="s">
        <v>319</v>
      </c>
      <c r="E30" s="0" t="s">
        <v>322</v>
      </c>
      <c r="F30" s="0" t="s">
        <v>141</v>
      </c>
      <c r="G30" s="0" t="s">
        <v>145</v>
      </c>
      <c r="H30" s="6" t="n">
        <f aca="false">'Export-dataset'!D12</f>
        <v>21317</v>
      </c>
    </row>
    <row r="31" customFormat="false" ht="15" hidden="false" customHeight="false" outlineLevel="0" collapsed="false">
      <c r="A31" s="0" t="s">
        <v>61</v>
      </c>
      <c r="B31" s="0" t="n">
        <v>2025</v>
      </c>
      <c r="C31" s="0" t="s">
        <v>321</v>
      </c>
      <c r="D31" s="0" t="s">
        <v>319</v>
      </c>
      <c r="E31" s="0" t="s">
        <v>322</v>
      </c>
      <c r="F31" s="0" t="s">
        <v>141</v>
      </c>
      <c r="G31" s="0" t="s">
        <v>145</v>
      </c>
      <c r="H31" s="6" t="n">
        <f aca="false">'Export-dataset'!D13</f>
        <v>27217</v>
      </c>
    </row>
    <row r="32" customFormat="false" ht="15" hidden="false" customHeight="false" outlineLevel="0" collapsed="false">
      <c r="A32" s="0" t="s">
        <v>61</v>
      </c>
      <c r="B32" s="0" t="n">
        <v>2016</v>
      </c>
      <c r="C32" s="0" t="s">
        <v>323</v>
      </c>
      <c r="D32" s="0" t="s">
        <v>319</v>
      </c>
      <c r="E32" s="0" t="s">
        <v>324</v>
      </c>
      <c r="F32" s="0" t="s">
        <v>141</v>
      </c>
      <c r="G32" s="0" t="s">
        <v>146</v>
      </c>
      <c r="H32" s="6" t="n">
        <f aca="false">'Export-dataset'!E4</f>
        <v>2208</v>
      </c>
    </row>
    <row r="33" customFormat="false" ht="15" hidden="false" customHeight="false" outlineLevel="0" collapsed="false">
      <c r="A33" s="0" t="s">
        <v>61</v>
      </c>
      <c r="B33" s="0" t="n">
        <v>2017</v>
      </c>
      <c r="C33" s="0" t="s">
        <v>323</v>
      </c>
      <c r="D33" s="0" t="s">
        <v>319</v>
      </c>
      <c r="E33" s="0" t="s">
        <v>324</v>
      </c>
      <c r="F33" s="0" t="s">
        <v>141</v>
      </c>
      <c r="G33" s="0" t="s">
        <v>146</v>
      </c>
      <c r="H33" s="6" t="n">
        <f aca="false">'Export-dataset'!E5</f>
        <v>2345</v>
      </c>
    </row>
    <row r="34" customFormat="false" ht="15" hidden="false" customHeight="false" outlineLevel="0" collapsed="false">
      <c r="A34" s="0" t="s">
        <v>61</v>
      </c>
      <c r="B34" s="0" t="n">
        <v>2018</v>
      </c>
      <c r="C34" s="0" t="s">
        <v>323</v>
      </c>
      <c r="D34" s="0" t="s">
        <v>319</v>
      </c>
      <c r="E34" s="0" t="s">
        <v>324</v>
      </c>
      <c r="F34" s="0" t="s">
        <v>141</v>
      </c>
      <c r="G34" s="0" t="s">
        <v>146</v>
      </c>
      <c r="H34" s="6" t="n">
        <f aca="false">'Export-dataset'!E6</f>
        <v>2481</v>
      </c>
    </row>
    <row r="35" customFormat="false" ht="15" hidden="false" customHeight="false" outlineLevel="0" collapsed="false">
      <c r="A35" s="0" t="s">
        <v>61</v>
      </c>
      <c r="B35" s="0" t="n">
        <v>2019</v>
      </c>
      <c r="C35" s="0" t="s">
        <v>323</v>
      </c>
      <c r="D35" s="0" t="s">
        <v>319</v>
      </c>
      <c r="E35" s="0" t="s">
        <v>324</v>
      </c>
      <c r="F35" s="0" t="s">
        <v>141</v>
      </c>
      <c r="G35" s="0" t="s">
        <v>146</v>
      </c>
      <c r="H35" s="6" t="n">
        <f aca="false">'Export-dataset'!E7</f>
        <v>2488</v>
      </c>
    </row>
    <row r="36" customFormat="false" ht="15" hidden="false" customHeight="false" outlineLevel="0" collapsed="false">
      <c r="A36" s="0" t="s">
        <v>61</v>
      </c>
      <c r="B36" s="0" t="n">
        <v>2020</v>
      </c>
      <c r="C36" s="0" t="s">
        <v>323</v>
      </c>
      <c r="D36" s="0" t="s">
        <v>319</v>
      </c>
      <c r="E36" s="0" t="s">
        <v>324</v>
      </c>
      <c r="F36" s="0" t="s">
        <v>141</v>
      </c>
      <c r="G36" s="0" t="s">
        <v>146</v>
      </c>
      <c r="H36" s="6" t="n">
        <f aca="false">'Export-dataset'!E8</f>
        <v>2544</v>
      </c>
    </row>
    <row r="37" customFormat="false" ht="15" hidden="false" customHeight="false" outlineLevel="0" collapsed="false">
      <c r="A37" s="0" t="s">
        <v>61</v>
      </c>
      <c r="B37" s="0" t="n">
        <v>2021</v>
      </c>
      <c r="C37" s="0" t="s">
        <v>323</v>
      </c>
      <c r="D37" s="0" t="s">
        <v>319</v>
      </c>
      <c r="E37" s="0" t="s">
        <v>324</v>
      </c>
      <c r="F37" s="0" t="s">
        <v>141</v>
      </c>
      <c r="G37" s="0" t="s">
        <v>146</v>
      </c>
      <c r="H37" s="6" t="n">
        <f aca="false">'Export-dataset'!E9</f>
        <v>2947</v>
      </c>
    </row>
    <row r="38" customFormat="false" ht="15" hidden="false" customHeight="false" outlineLevel="0" collapsed="false">
      <c r="A38" s="0" t="s">
        <v>61</v>
      </c>
      <c r="B38" s="0" t="n">
        <v>2022</v>
      </c>
      <c r="C38" s="0" t="s">
        <v>323</v>
      </c>
      <c r="D38" s="0" t="s">
        <v>319</v>
      </c>
      <c r="E38" s="0" t="s">
        <v>324</v>
      </c>
      <c r="F38" s="0" t="s">
        <v>141</v>
      </c>
      <c r="G38" s="0" t="s">
        <v>146</v>
      </c>
      <c r="H38" s="6" t="n">
        <f aca="false">'Export-dataset'!E10</f>
        <v>3385</v>
      </c>
    </row>
    <row r="39" customFormat="false" ht="15" hidden="false" customHeight="false" outlineLevel="0" collapsed="false">
      <c r="A39" s="0" t="s">
        <v>61</v>
      </c>
      <c r="B39" s="0" t="n">
        <v>2023</v>
      </c>
      <c r="C39" s="0" t="s">
        <v>323</v>
      </c>
      <c r="D39" s="0" t="s">
        <v>319</v>
      </c>
      <c r="E39" s="0" t="s">
        <v>324</v>
      </c>
      <c r="F39" s="0" t="s">
        <v>141</v>
      </c>
      <c r="G39" s="0" t="s">
        <v>146</v>
      </c>
      <c r="H39" s="6" t="n">
        <f aca="false">'Export-dataset'!E11</f>
        <v>3000</v>
      </c>
    </row>
    <row r="40" customFormat="false" ht="15" hidden="false" customHeight="false" outlineLevel="0" collapsed="false">
      <c r="A40" s="0" t="s">
        <v>61</v>
      </c>
      <c r="B40" s="0" t="n">
        <v>2024</v>
      </c>
      <c r="C40" s="0" t="s">
        <v>323</v>
      </c>
      <c r="D40" s="0" t="s">
        <v>319</v>
      </c>
      <c r="E40" s="0" t="s">
        <v>324</v>
      </c>
      <c r="F40" s="0" t="s">
        <v>141</v>
      </c>
      <c r="G40" s="0" t="s">
        <v>146</v>
      </c>
      <c r="H40" s="6" t="n">
        <f aca="false">'Export-dataset'!E12</f>
        <v>3425</v>
      </c>
    </row>
    <row r="41" customFormat="false" ht="15" hidden="false" customHeight="false" outlineLevel="0" collapsed="false">
      <c r="A41" s="0" t="s">
        <v>61</v>
      </c>
      <c r="B41" s="0" t="n">
        <v>2025</v>
      </c>
      <c r="C41" s="0" t="s">
        <v>323</v>
      </c>
      <c r="D41" s="0" t="s">
        <v>319</v>
      </c>
      <c r="E41" s="0" t="s">
        <v>324</v>
      </c>
      <c r="F41" s="0" t="s">
        <v>141</v>
      </c>
      <c r="G41" s="0" t="s">
        <v>146</v>
      </c>
      <c r="H41" s="6" t="n">
        <f aca="false">'Export-dataset'!E13</f>
        <v>3562</v>
      </c>
    </row>
    <row r="42" customFormat="false" ht="15" hidden="false" customHeight="false" outlineLevel="0" collapsed="false">
      <c r="A42" s="0" t="s">
        <v>61</v>
      </c>
      <c r="B42" s="0" t="n">
        <v>2016</v>
      </c>
      <c r="C42" s="0" t="s">
        <v>325</v>
      </c>
      <c r="D42" s="0" t="s">
        <v>319</v>
      </c>
      <c r="E42" s="0" t="s">
        <v>326</v>
      </c>
      <c r="F42" s="0" t="s">
        <v>141</v>
      </c>
      <c r="G42" s="0" t="s">
        <v>147</v>
      </c>
      <c r="H42" s="6" t="n">
        <f aca="false">'Export-dataset'!F4</f>
        <v>1379</v>
      </c>
    </row>
    <row r="43" customFormat="false" ht="15" hidden="false" customHeight="false" outlineLevel="0" collapsed="false">
      <c r="A43" s="0" t="s">
        <v>61</v>
      </c>
      <c r="B43" s="0" t="n">
        <v>2017</v>
      </c>
      <c r="C43" s="0" t="s">
        <v>325</v>
      </c>
      <c r="D43" s="0" t="s">
        <v>319</v>
      </c>
      <c r="E43" s="0" t="s">
        <v>326</v>
      </c>
      <c r="F43" s="0" t="s">
        <v>141</v>
      </c>
      <c r="G43" s="0" t="s">
        <v>147</v>
      </c>
      <c r="H43" s="6" t="n">
        <f aca="false">'Export-dataset'!F5</f>
        <v>1424</v>
      </c>
    </row>
    <row r="44" customFormat="false" ht="15" hidden="false" customHeight="false" outlineLevel="0" collapsed="false">
      <c r="A44" s="0" t="s">
        <v>61</v>
      </c>
      <c r="B44" s="0" t="n">
        <v>2018</v>
      </c>
      <c r="C44" s="0" t="s">
        <v>325</v>
      </c>
      <c r="D44" s="0" t="s">
        <v>319</v>
      </c>
      <c r="E44" s="0" t="s">
        <v>326</v>
      </c>
      <c r="F44" s="0" t="s">
        <v>141</v>
      </c>
      <c r="G44" s="0" t="s">
        <v>147</v>
      </c>
      <c r="H44" s="6" t="n">
        <f aca="false">'Export-dataset'!F6</f>
        <v>1469</v>
      </c>
    </row>
    <row r="45" customFormat="false" ht="15" hidden="false" customHeight="false" outlineLevel="0" collapsed="false">
      <c r="A45" s="0" t="s">
        <v>61</v>
      </c>
      <c r="B45" s="0" t="n">
        <v>2019</v>
      </c>
      <c r="C45" s="0" t="s">
        <v>325</v>
      </c>
      <c r="D45" s="0" t="s">
        <v>319</v>
      </c>
      <c r="E45" s="0" t="s">
        <v>326</v>
      </c>
      <c r="F45" s="0" t="s">
        <v>141</v>
      </c>
      <c r="G45" s="0" t="s">
        <v>147</v>
      </c>
      <c r="H45" s="6" t="n">
        <f aca="false">'Export-dataset'!F7</f>
        <v>1529</v>
      </c>
    </row>
    <row r="46" customFormat="false" ht="15" hidden="false" customHeight="false" outlineLevel="0" collapsed="false">
      <c r="A46" s="0" t="s">
        <v>61</v>
      </c>
      <c r="B46" s="0" t="n">
        <v>2020</v>
      </c>
      <c r="C46" s="0" t="s">
        <v>325</v>
      </c>
      <c r="D46" s="0" t="s">
        <v>319</v>
      </c>
      <c r="E46" s="0" t="s">
        <v>326</v>
      </c>
      <c r="F46" s="0" t="s">
        <v>141</v>
      </c>
      <c r="G46" s="0" t="s">
        <v>147</v>
      </c>
      <c r="H46" s="6" t="n">
        <f aca="false">'Export-dataset'!F8</f>
        <v>1229</v>
      </c>
    </row>
    <row r="47" customFormat="false" ht="15" hidden="false" customHeight="false" outlineLevel="0" collapsed="false">
      <c r="A47" s="0" t="s">
        <v>61</v>
      </c>
      <c r="B47" s="0" t="n">
        <v>2021</v>
      </c>
      <c r="C47" s="0" t="s">
        <v>325</v>
      </c>
      <c r="D47" s="0" t="s">
        <v>319</v>
      </c>
      <c r="E47" s="0" t="s">
        <v>326</v>
      </c>
      <c r="F47" s="0" t="s">
        <v>141</v>
      </c>
      <c r="G47" s="0" t="s">
        <v>147</v>
      </c>
      <c r="H47" s="6" t="n">
        <f aca="false">'Export-dataset'!F9</f>
        <v>1207</v>
      </c>
    </row>
    <row r="48" customFormat="false" ht="15" hidden="false" customHeight="false" outlineLevel="0" collapsed="false">
      <c r="A48" s="0" t="s">
        <v>61</v>
      </c>
      <c r="B48" s="0" t="n">
        <v>2022</v>
      </c>
      <c r="C48" s="0" t="s">
        <v>325</v>
      </c>
      <c r="D48" s="0" t="s">
        <v>319</v>
      </c>
      <c r="E48" s="0" t="s">
        <v>326</v>
      </c>
      <c r="F48" s="0" t="s">
        <v>141</v>
      </c>
      <c r="G48" s="0" t="s">
        <v>147</v>
      </c>
      <c r="H48" s="6" t="n">
        <f aca="false">'Export-dataset'!F10</f>
        <v>1205</v>
      </c>
    </row>
    <row r="49" customFormat="false" ht="15" hidden="false" customHeight="false" outlineLevel="0" collapsed="false">
      <c r="A49" s="0" t="s">
        <v>61</v>
      </c>
      <c r="B49" s="0" t="n">
        <v>2023</v>
      </c>
      <c r="C49" s="0" t="s">
        <v>325</v>
      </c>
      <c r="D49" s="0" t="s">
        <v>319</v>
      </c>
      <c r="E49" s="0" t="s">
        <v>326</v>
      </c>
      <c r="F49" s="0" t="s">
        <v>141</v>
      </c>
      <c r="G49" s="0" t="s">
        <v>147</v>
      </c>
      <c r="H49" s="6" t="n">
        <f aca="false">'Export-dataset'!F11</f>
        <v>1346</v>
      </c>
    </row>
    <row r="50" customFormat="false" ht="15" hidden="false" customHeight="false" outlineLevel="0" collapsed="false">
      <c r="A50" s="0" t="s">
        <v>61</v>
      </c>
      <c r="B50" s="0" t="n">
        <v>2024</v>
      </c>
      <c r="C50" s="0" t="s">
        <v>325</v>
      </c>
      <c r="D50" s="0" t="s">
        <v>319</v>
      </c>
      <c r="E50" s="0" t="s">
        <v>326</v>
      </c>
      <c r="F50" s="0" t="s">
        <v>141</v>
      </c>
      <c r="G50" s="0" t="s">
        <v>147</v>
      </c>
      <c r="H50" s="6" t="n">
        <f aca="false">'Export-dataset'!F12</f>
        <v>1219</v>
      </c>
    </row>
    <row r="51" customFormat="false" ht="15" hidden="false" customHeight="false" outlineLevel="0" collapsed="false">
      <c r="A51" s="0" t="s">
        <v>61</v>
      </c>
      <c r="B51" s="0" t="n">
        <v>2025</v>
      </c>
      <c r="C51" s="0" t="s">
        <v>325</v>
      </c>
      <c r="D51" s="0" t="s">
        <v>319</v>
      </c>
      <c r="E51" s="0" t="s">
        <v>326</v>
      </c>
      <c r="F51" s="0" t="s">
        <v>141</v>
      </c>
      <c r="G51" s="0" t="s">
        <v>147</v>
      </c>
      <c r="H51" s="6" t="n">
        <f aca="false">'Export-dataset'!F13</f>
        <v>1588</v>
      </c>
    </row>
    <row r="52" customFormat="false" ht="15" hidden="false" customHeight="false" outlineLevel="0" collapsed="false">
      <c r="A52" s="0" t="s">
        <v>61</v>
      </c>
      <c r="B52" s="0" t="n">
        <v>2016</v>
      </c>
      <c r="C52" s="0" t="s">
        <v>327</v>
      </c>
      <c r="D52" s="0" t="s">
        <v>319</v>
      </c>
      <c r="E52" s="0" t="s">
        <v>328</v>
      </c>
      <c r="F52" s="0" t="s">
        <v>141</v>
      </c>
      <c r="G52" s="0" t="s">
        <v>148</v>
      </c>
      <c r="H52" s="6" t="n">
        <f aca="false">'Export-dataset'!G4</f>
        <v>7580</v>
      </c>
    </row>
    <row r="53" customFormat="false" ht="15" hidden="false" customHeight="false" outlineLevel="0" collapsed="false">
      <c r="A53" s="0" t="s">
        <v>61</v>
      </c>
      <c r="B53" s="0" t="n">
        <v>2017</v>
      </c>
      <c r="C53" s="0" t="s">
        <v>327</v>
      </c>
      <c r="D53" s="0" t="s">
        <v>319</v>
      </c>
      <c r="E53" s="0" t="s">
        <v>328</v>
      </c>
      <c r="F53" s="0" t="s">
        <v>141</v>
      </c>
      <c r="G53" s="0" t="s">
        <v>148</v>
      </c>
      <c r="H53" s="6" t="n">
        <f aca="false">'Export-dataset'!G5</f>
        <v>9336</v>
      </c>
    </row>
    <row r="54" customFormat="false" ht="15" hidden="false" customHeight="false" outlineLevel="0" collapsed="false">
      <c r="A54" s="0" t="s">
        <v>61</v>
      </c>
      <c r="B54" s="0" t="n">
        <v>2018</v>
      </c>
      <c r="C54" s="0" t="s">
        <v>327</v>
      </c>
      <c r="D54" s="0" t="s">
        <v>319</v>
      </c>
      <c r="E54" s="0" t="s">
        <v>328</v>
      </c>
      <c r="F54" s="0" t="s">
        <v>141</v>
      </c>
      <c r="G54" s="0" t="s">
        <v>148</v>
      </c>
      <c r="H54" s="6" t="n">
        <f aca="false">'Export-dataset'!G6</f>
        <v>7326</v>
      </c>
    </row>
    <row r="55" customFormat="false" ht="15" hidden="false" customHeight="false" outlineLevel="0" collapsed="false">
      <c r="A55" s="0" t="s">
        <v>61</v>
      </c>
      <c r="B55" s="0" t="n">
        <v>2019</v>
      </c>
      <c r="C55" s="0" t="s">
        <v>327</v>
      </c>
      <c r="D55" s="0" t="s">
        <v>319</v>
      </c>
      <c r="E55" s="0" t="s">
        <v>328</v>
      </c>
      <c r="F55" s="0" t="s">
        <v>141</v>
      </c>
      <c r="G55" s="0" t="s">
        <v>148</v>
      </c>
      <c r="H55" s="6" t="n">
        <f aca="false">'Export-dataset'!G7</f>
        <v>5891</v>
      </c>
    </row>
    <row r="56" customFormat="false" ht="15" hidden="false" customHeight="false" outlineLevel="0" collapsed="false">
      <c r="A56" s="0" t="s">
        <v>61</v>
      </c>
      <c r="B56" s="0" t="n">
        <v>2020</v>
      </c>
      <c r="C56" s="0" t="s">
        <v>327</v>
      </c>
      <c r="D56" s="0" t="s">
        <v>319</v>
      </c>
      <c r="E56" s="0" t="s">
        <v>328</v>
      </c>
      <c r="F56" s="0" t="s">
        <v>141</v>
      </c>
      <c r="G56" s="0" t="s">
        <v>148</v>
      </c>
      <c r="H56" s="6" t="n">
        <f aca="false">'Export-dataset'!G8</f>
        <v>6440</v>
      </c>
    </row>
    <row r="57" customFormat="false" ht="15" hidden="false" customHeight="false" outlineLevel="0" collapsed="false">
      <c r="A57" s="0" t="s">
        <v>61</v>
      </c>
      <c r="B57" s="0" t="n">
        <v>2021</v>
      </c>
      <c r="C57" s="0" t="s">
        <v>327</v>
      </c>
      <c r="D57" s="0" t="s">
        <v>319</v>
      </c>
      <c r="E57" s="0" t="s">
        <v>328</v>
      </c>
      <c r="F57" s="0" t="s">
        <v>141</v>
      </c>
      <c r="G57" s="0" t="s">
        <v>148</v>
      </c>
      <c r="H57" s="6" t="n">
        <f aca="false">'Export-dataset'!G9</f>
        <v>14105</v>
      </c>
    </row>
    <row r="58" customFormat="false" ht="15" hidden="false" customHeight="false" outlineLevel="0" collapsed="false">
      <c r="A58" s="0" t="s">
        <v>61</v>
      </c>
      <c r="B58" s="0" t="n">
        <v>2022</v>
      </c>
      <c r="C58" s="0" t="s">
        <v>327</v>
      </c>
      <c r="D58" s="0" t="s">
        <v>319</v>
      </c>
      <c r="E58" s="0" t="s">
        <v>328</v>
      </c>
      <c r="F58" s="0" t="s">
        <v>141</v>
      </c>
      <c r="G58" s="0" t="s">
        <v>148</v>
      </c>
      <c r="H58" s="6" t="n">
        <f aca="false">'Export-dataset'!G10</f>
        <v>20672</v>
      </c>
    </row>
    <row r="59" customFormat="false" ht="15" hidden="false" customHeight="false" outlineLevel="0" collapsed="false">
      <c r="A59" s="0" t="s">
        <v>61</v>
      </c>
      <c r="B59" s="0" t="n">
        <v>2023</v>
      </c>
      <c r="C59" s="0" t="s">
        <v>327</v>
      </c>
      <c r="D59" s="0" t="s">
        <v>319</v>
      </c>
      <c r="E59" s="0" t="s">
        <v>328</v>
      </c>
      <c r="F59" s="0" t="s">
        <v>141</v>
      </c>
      <c r="G59" s="0" t="s">
        <v>148</v>
      </c>
      <c r="H59" s="6" t="n">
        <f aca="false">'Export-dataset'!G11</f>
        <v>20628</v>
      </c>
    </row>
    <row r="60" customFormat="false" ht="15" hidden="false" customHeight="false" outlineLevel="0" collapsed="false">
      <c r="A60" s="0" t="s">
        <v>61</v>
      </c>
      <c r="B60" s="0" t="n">
        <v>2024</v>
      </c>
      <c r="C60" s="0" t="s">
        <v>327</v>
      </c>
      <c r="D60" s="0" t="s">
        <v>319</v>
      </c>
      <c r="E60" s="0" t="s">
        <v>328</v>
      </c>
      <c r="F60" s="0" t="s">
        <v>141</v>
      </c>
      <c r="G60" s="0" t="s">
        <v>148</v>
      </c>
      <c r="H60" s="6" t="n">
        <f aca="false">'Export-dataset'!G12</f>
        <v>13747</v>
      </c>
    </row>
    <row r="61" customFormat="false" ht="15" hidden="false" customHeight="false" outlineLevel="0" collapsed="false">
      <c r="A61" s="0" t="s">
        <v>61</v>
      </c>
      <c r="B61" s="0" t="n">
        <v>2025</v>
      </c>
      <c r="C61" s="0" t="s">
        <v>327</v>
      </c>
      <c r="D61" s="0" t="s">
        <v>319</v>
      </c>
      <c r="E61" s="0" t="s">
        <v>328</v>
      </c>
      <c r="F61" s="0" t="s">
        <v>141</v>
      </c>
      <c r="G61" s="0" t="s">
        <v>148</v>
      </c>
      <c r="H61" s="6" t="n">
        <f aca="false">'Export-dataset'!G13</f>
        <v>16169</v>
      </c>
    </row>
    <row r="62" customFormat="false" ht="15" hidden="false" customHeight="false" outlineLevel="0" collapsed="false">
      <c r="A62" s="0" t="s">
        <v>61</v>
      </c>
      <c r="B62" s="0" t="n">
        <v>2016</v>
      </c>
      <c r="C62" s="0" t="s">
        <v>329</v>
      </c>
      <c r="D62" s="0" t="s">
        <v>319</v>
      </c>
      <c r="E62" s="0" t="s">
        <v>330</v>
      </c>
      <c r="F62" s="0" t="s">
        <v>141</v>
      </c>
      <c r="G62" s="0" t="s">
        <v>149</v>
      </c>
      <c r="H62" s="6" t="n">
        <f aca="false">'Export-dataset'!H4</f>
        <v>4153</v>
      </c>
    </row>
    <row r="63" customFormat="false" ht="15" hidden="false" customHeight="false" outlineLevel="0" collapsed="false">
      <c r="A63" s="0" t="s">
        <v>61</v>
      </c>
      <c r="B63" s="0" t="n">
        <v>2017</v>
      </c>
      <c r="C63" s="0" t="s">
        <v>329</v>
      </c>
      <c r="D63" s="0" t="s">
        <v>319</v>
      </c>
      <c r="E63" s="0" t="s">
        <v>330</v>
      </c>
      <c r="F63" s="0" t="s">
        <v>141</v>
      </c>
      <c r="G63" s="0" t="s">
        <v>149</v>
      </c>
      <c r="H63" s="6" t="n">
        <f aca="false">'Export-dataset'!H5</f>
        <v>5099</v>
      </c>
    </row>
    <row r="64" customFormat="false" ht="15" hidden="false" customHeight="false" outlineLevel="0" collapsed="false">
      <c r="A64" s="0" t="s">
        <v>61</v>
      </c>
      <c r="B64" s="0" t="n">
        <v>2018</v>
      </c>
      <c r="C64" s="0" t="s">
        <v>329</v>
      </c>
      <c r="D64" s="0" t="s">
        <v>319</v>
      </c>
      <c r="E64" s="0" t="s">
        <v>330</v>
      </c>
      <c r="F64" s="0" t="s">
        <v>141</v>
      </c>
      <c r="G64" s="0" t="s">
        <v>149</v>
      </c>
      <c r="H64" s="6" t="n">
        <f aca="false">'Export-dataset'!H6</f>
        <v>3567</v>
      </c>
    </row>
    <row r="65" customFormat="false" ht="15" hidden="false" customHeight="false" outlineLevel="0" collapsed="false">
      <c r="A65" s="0" t="s">
        <v>61</v>
      </c>
      <c r="B65" s="0" t="n">
        <v>2019</v>
      </c>
      <c r="C65" s="0" t="s">
        <v>329</v>
      </c>
      <c r="D65" s="0" t="s">
        <v>319</v>
      </c>
      <c r="E65" s="0" t="s">
        <v>330</v>
      </c>
      <c r="F65" s="0" t="s">
        <v>141</v>
      </c>
      <c r="G65" s="0" t="s">
        <v>149</v>
      </c>
      <c r="H65" s="6" t="n">
        <f aca="false">'Export-dataset'!H7</f>
        <v>4112</v>
      </c>
    </row>
    <row r="66" customFormat="false" ht="15" hidden="false" customHeight="false" outlineLevel="0" collapsed="false">
      <c r="A66" s="0" t="s">
        <v>61</v>
      </c>
      <c r="B66" s="0" t="n">
        <v>2020</v>
      </c>
      <c r="C66" s="0" t="s">
        <v>329</v>
      </c>
      <c r="D66" s="0" t="s">
        <v>319</v>
      </c>
      <c r="E66" s="0" t="s">
        <v>330</v>
      </c>
      <c r="F66" s="0" t="s">
        <v>141</v>
      </c>
      <c r="G66" s="0" t="s">
        <v>149</v>
      </c>
      <c r="H66" s="6" t="n">
        <f aca="false">'Export-dataset'!H8</f>
        <v>4127</v>
      </c>
    </row>
    <row r="67" customFormat="false" ht="15" hidden="false" customHeight="false" outlineLevel="0" collapsed="false">
      <c r="A67" s="0" t="s">
        <v>61</v>
      </c>
      <c r="B67" s="0" t="n">
        <v>2021</v>
      </c>
      <c r="C67" s="0" t="s">
        <v>329</v>
      </c>
      <c r="D67" s="0" t="s">
        <v>319</v>
      </c>
      <c r="E67" s="0" t="s">
        <v>330</v>
      </c>
      <c r="F67" s="0" t="s">
        <v>141</v>
      </c>
      <c r="G67" s="0" t="s">
        <v>149</v>
      </c>
      <c r="H67" s="6" t="n">
        <f aca="false">'Export-dataset'!H9</f>
        <v>4512</v>
      </c>
    </row>
    <row r="68" customFormat="false" ht="15" hidden="false" customHeight="false" outlineLevel="0" collapsed="false">
      <c r="A68" s="0" t="s">
        <v>61</v>
      </c>
      <c r="B68" s="0" t="n">
        <v>2022</v>
      </c>
      <c r="C68" s="0" t="s">
        <v>329</v>
      </c>
      <c r="D68" s="0" t="s">
        <v>319</v>
      </c>
      <c r="E68" s="0" t="s">
        <v>330</v>
      </c>
      <c r="F68" s="0" t="s">
        <v>141</v>
      </c>
      <c r="G68" s="0" t="s">
        <v>149</v>
      </c>
      <c r="H68" s="6" t="n">
        <f aca="false">'Export-dataset'!H10</f>
        <v>5027</v>
      </c>
    </row>
    <row r="69" customFormat="false" ht="15" hidden="false" customHeight="false" outlineLevel="0" collapsed="false">
      <c r="A69" s="0" t="s">
        <v>61</v>
      </c>
      <c r="B69" s="0" t="n">
        <v>2023</v>
      </c>
      <c r="C69" s="0" t="s">
        <v>329</v>
      </c>
      <c r="D69" s="0" t="s">
        <v>319</v>
      </c>
      <c r="E69" s="0" t="s">
        <v>330</v>
      </c>
      <c r="F69" s="0" t="s">
        <v>141</v>
      </c>
      <c r="G69" s="0" t="s">
        <v>149</v>
      </c>
      <c r="H69" s="6" t="n">
        <f aca="false">'Export-dataset'!H11</f>
        <v>5891</v>
      </c>
    </row>
    <row r="70" customFormat="false" ht="15" hidden="false" customHeight="false" outlineLevel="0" collapsed="false">
      <c r="A70" s="0" t="s">
        <v>61</v>
      </c>
      <c r="B70" s="0" t="n">
        <v>2024</v>
      </c>
      <c r="C70" s="0" t="s">
        <v>329</v>
      </c>
      <c r="D70" s="0" t="s">
        <v>319</v>
      </c>
      <c r="E70" s="0" t="s">
        <v>330</v>
      </c>
      <c r="F70" s="0" t="s">
        <v>141</v>
      </c>
      <c r="G70" s="0" t="s">
        <v>149</v>
      </c>
      <c r="H70" s="6" t="n">
        <f aca="false">'Export-dataset'!H12</f>
        <v>7067</v>
      </c>
    </row>
    <row r="71" customFormat="false" ht="15" hidden="false" customHeight="false" outlineLevel="0" collapsed="false">
      <c r="A71" s="0" t="s">
        <v>61</v>
      </c>
      <c r="B71" s="0" t="n">
        <v>2025</v>
      </c>
      <c r="C71" s="0" t="s">
        <v>329</v>
      </c>
      <c r="D71" s="0" t="s">
        <v>319</v>
      </c>
      <c r="E71" s="0" t="s">
        <v>330</v>
      </c>
      <c r="F71" s="0" t="s">
        <v>141</v>
      </c>
      <c r="G71" s="0" t="s">
        <v>149</v>
      </c>
      <c r="H71" s="6" t="n">
        <f aca="false">'Export-dataset'!H13</f>
        <v>7282</v>
      </c>
    </row>
    <row r="72" customFormat="false" ht="15" hidden="false" customHeight="false" outlineLevel="0" collapsed="false">
      <c r="A72" s="0" t="s">
        <v>61</v>
      </c>
      <c r="B72" s="0" t="n">
        <v>2016</v>
      </c>
      <c r="C72" s="0" t="s">
        <v>331</v>
      </c>
      <c r="D72" s="0" t="s">
        <v>319</v>
      </c>
      <c r="E72" s="0" t="s">
        <v>332</v>
      </c>
      <c r="F72" s="0" t="s">
        <v>141</v>
      </c>
      <c r="G72" s="0" t="s">
        <v>150</v>
      </c>
      <c r="H72" s="6" t="n">
        <f aca="false">'Export-dataset'!I4</f>
        <v>319</v>
      </c>
    </row>
    <row r="73" customFormat="false" ht="15" hidden="false" customHeight="false" outlineLevel="0" collapsed="false">
      <c r="A73" s="0" t="s">
        <v>61</v>
      </c>
      <c r="B73" s="0" t="n">
        <v>2017</v>
      </c>
      <c r="C73" s="0" t="s">
        <v>331</v>
      </c>
      <c r="D73" s="0" t="s">
        <v>319</v>
      </c>
      <c r="E73" s="0" t="s">
        <v>332</v>
      </c>
      <c r="F73" s="0" t="s">
        <v>141</v>
      </c>
      <c r="G73" s="0" t="s">
        <v>150</v>
      </c>
      <c r="H73" s="6" t="n">
        <f aca="false">'Export-dataset'!I5</f>
        <v>330</v>
      </c>
    </row>
    <row r="74" customFormat="false" ht="15" hidden="false" customHeight="false" outlineLevel="0" collapsed="false">
      <c r="A74" s="0" t="s">
        <v>61</v>
      </c>
      <c r="B74" s="0" t="n">
        <v>2018</v>
      </c>
      <c r="C74" s="0" t="s">
        <v>331</v>
      </c>
      <c r="D74" s="0" t="s">
        <v>319</v>
      </c>
      <c r="E74" s="0" t="s">
        <v>332</v>
      </c>
      <c r="F74" s="0" t="s">
        <v>141</v>
      </c>
      <c r="G74" s="0" t="s">
        <v>150</v>
      </c>
      <c r="H74" s="6" t="n">
        <f aca="false">'Export-dataset'!I6</f>
        <v>300</v>
      </c>
    </row>
    <row r="75" customFormat="false" ht="15" hidden="false" customHeight="false" outlineLevel="0" collapsed="false">
      <c r="A75" s="0" t="s">
        <v>61</v>
      </c>
      <c r="B75" s="0" t="n">
        <v>2019</v>
      </c>
      <c r="C75" s="0" t="s">
        <v>331</v>
      </c>
      <c r="D75" s="0" t="s">
        <v>319</v>
      </c>
      <c r="E75" s="0" t="s">
        <v>332</v>
      </c>
      <c r="F75" s="0" t="s">
        <v>141</v>
      </c>
      <c r="G75" s="0" t="s">
        <v>150</v>
      </c>
      <c r="H75" s="6" t="n">
        <f aca="false">'Export-dataset'!I7</f>
        <v>268</v>
      </c>
    </row>
    <row r="76" customFormat="false" ht="15" hidden="false" customHeight="false" outlineLevel="0" collapsed="false">
      <c r="A76" s="0" t="s">
        <v>61</v>
      </c>
      <c r="B76" s="0" t="n">
        <v>2020</v>
      </c>
      <c r="C76" s="0" t="s">
        <v>331</v>
      </c>
      <c r="D76" s="0" t="s">
        <v>319</v>
      </c>
      <c r="E76" s="0" t="s">
        <v>332</v>
      </c>
      <c r="F76" s="0" t="s">
        <v>141</v>
      </c>
      <c r="G76" s="0" t="s">
        <v>150</v>
      </c>
      <c r="H76" s="6" t="n">
        <f aca="false">'Export-dataset'!I8</f>
        <v>283</v>
      </c>
    </row>
    <row r="77" customFormat="false" ht="15" hidden="false" customHeight="false" outlineLevel="0" collapsed="false">
      <c r="A77" s="0" t="s">
        <v>61</v>
      </c>
      <c r="B77" s="0" t="n">
        <v>2021</v>
      </c>
      <c r="C77" s="0" t="s">
        <v>331</v>
      </c>
      <c r="D77" s="0" t="s">
        <v>319</v>
      </c>
      <c r="E77" s="0" t="s">
        <v>332</v>
      </c>
      <c r="F77" s="0" t="s">
        <v>141</v>
      </c>
      <c r="G77" s="0" t="s">
        <v>150</v>
      </c>
      <c r="H77" s="6" t="n">
        <f aca="false">'Export-dataset'!I9</f>
        <v>318</v>
      </c>
    </row>
    <row r="78" customFormat="false" ht="15" hidden="false" customHeight="false" outlineLevel="0" collapsed="false">
      <c r="A78" s="0" t="s">
        <v>61</v>
      </c>
      <c r="B78" s="0" t="n">
        <v>2022</v>
      </c>
      <c r="C78" s="0" t="s">
        <v>331</v>
      </c>
      <c r="D78" s="0" t="s">
        <v>319</v>
      </c>
      <c r="E78" s="0" t="s">
        <v>332</v>
      </c>
      <c r="F78" s="0" t="s">
        <v>141</v>
      </c>
      <c r="G78" s="0" t="s">
        <v>150</v>
      </c>
      <c r="H78" s="6" t="n">
        <f aca="false">'Export-dataset'!I10</f>
        <v>321</v>
      </c>
    </row>
    <row r="79" customFormat="false" ht="15" hidden="false" customHeight="false" outlineLevel="0" collapsed="false">
      <c r="A79" s="0" t="s">
        <v>61</v>
      </c>
      <c r="B79" s="0" t="n">
        <v>2023</v>
      </c>
      <c r="C79" s="0" t="s">
        <v>331</v>
      </c>
      <c r="D79" s="0" t="s">
        <v>319</v>
      </c>
      <c r="E79" s="0" t="s">
        <v>332</v>
      </c>
      <c r="F79" s="0" t="s">
        <v>141</v>
      </c>
      <c r="G79" s="0" t="s">
        <v>150</v>
      </c>
      <c r="H79" s="6" t="n">
        <f aca="false">'Export-dataset'!I11</f>
        <v>297</v>
      </c>
    </row>
    <row r="80" customFormat="false" ht="15" hidden="false" customHeight="false" outlineLevel="0" collapsed="false">
      <c r="A80" s="0" t="s">
        <v>61</v>
      </c>
      <c r="B80" s="0" t="n">
        <v>2024</v>
      </c>
      <c r="C80" s="0" t="s">
        <v>331</v>
      </c>
      <c r="D80" s="0" t="s">
        <v>319</v>
      </c>
      <c r="E80" s="0" t="s">
        <v>332</v>
      </c>
      <c r="F80" s="0" t="s">
        <v>141</v>
      </c>
      <c r="G80" s="0" t="s">
        <v>150</v>
      </c>
      <c r="H80" s="6" t="n">
        <f aca="false">'Export-dataset'!I12</f>
        <v>298</v>
      </c>
    </row>
    <row r="81" customFormat="false" ht="15" hidden="false" customHeight="false" outlineLevel="0" collapsed="false">
      <c r="A81" s="0" t="s">
        <v>61</v>
      </c>
      <c r="B81" s="0" t="n">
        <v>2025</v>
      </c>
      <c r="C81" s="0" t="s">
        <v>331</v>
      </c>
      <c r="D81" s="0" t="s">
        <v>319</v>
      </c>
      <c r="E81" s="0" t="s">
        <v>332</v>
      </c>
      <c r="F81" s="0" t="s">
        <v>141</v>
      </c>
      <c r="G81" s="0" t="s">
        <v>150</v>
      </c>
      <c r="H81" s="6" t="n">
        <f aca="false">'Export-dataset'!I13</f>
        <v>263</v>
      </c>
    </row>
    <row r="82" customFormat="false" ht="15" hidden="false" customHeight="false" outlineLevel="0" collapsed="false">
      <c r="A82" s="0" t="s">
        <v>61</v>
      </c>
      <c r="B82" s="0" t="n">
        <v>2016</v>
      </c>
      <c r="C82" s="0" t="s">
        <v>333</v>
      </c>
      <c r="D82" s="0" t="s">
        <v>319</v>
      </c>
      <c r="E82" s="0" t="s">
        <v>334</v>
      </c>
      <c r="F82" s="0" t="s">
        <v>141</v>
      </c>
      <c r="G82" s="0" t="s">
        <v>151</v>
      </c>
      <c r="H82" s="6" t="n">
        <f aca="false">'Export-dataset'!J4</f>
        <v>363</v>
      </c>
    </row>
    <row r="83" customFormat="false" ht="15" hidden="false" customHeight="false" outlineLevel="0" collapsed="false">
      <c r="A83" s="0" t="s">
        <v>61</v>
      </c>
      <c r="B83" s="0" t="n">
        <v>2017</v>
      </c>
      <c r="C83" s="0" t="s">
        <v>333</v>
      </c>
      <c r="D83" s="0" t="s">
        <v>319</v>
      </c>
      <c r="E83" s="0" t="s">
        <v>334</v>
      </c>
      <c r="F83" s="0" t="s">
        <v>141</v>
      </c>
      <c r="G83" s="0" t="s">
        <v>151</v>
      </c>
      <c r="H83" s="6" t="n">
        <f aca="false">'Export-dataset'!J5</f>
        <v>369</v>
      </c>
    </row>
    <row r="84" customFormat="false" ht="15" hidden="false" customHeight="false" outlineLevel="0" collapsed="false">
      <c r="A84" s="0" t="s">
        <v>61</v>
      </c>
      <c r="B84" s="0" t="n">
        <v>2018</v>
      </c>
      <c r="C84" s="0" t="s">
        <v>333</v>
      </c>
      <c r="D84" s="0" t="s">
        <v>319</v>
      </c>
      <c r="E84" s="0" t="s">
        <v>334</v>
      </c>
      <c r="F84" s="0" t="s">
        <v>141</v>
      </c>
      <c r="G84" s="0" t="s">
        <v>151</v>
      </c>
      <c r="H84" s="6" t="n">
        <f aca="false">'Export-dataset'!J6</f>
        <v>393</v>
      </c>
    </row>
    <row r="85" customFormat="false" ht="15" hidden="false" customHeight="false" outlineLevel="0" collapsed="false">
      <c r="A85" s="0" t="s">
        <v>61</v>
      </c>
      <c r="B85" s="0" t="n">
        <v>2019</v>
      </c>
      <c r="C85" s="0" t="s">
        <v>333</v>
      </c>
      <c r="D85" s="0" t="s">
        <v>319</v>
      </c>
      <c r="E85" s="0" t="s">
        <v>334</v>
      </c>
      <c r="F85" s="0" t="s">
        <v>141</v>
      </c>
      <c r="G85" s="0" t="s">
        <v>151</v>
      </c>
      <c r="H85" s="6" t="n">
        <f aca="false">'Export-dataset'!J7</f>
        <v>425</v>
      </c>
    </row>
    <row r="86" customFormat="false" ht="15" hidden="false" customHeight="false" outlineLevel="0" collapsed="false">
      <c r="A86" s="0" t="s">
        <v>61</v>
      </c>
      <c r="B86" s="0" t="n">
        <v>2020</v>
      </c>
      <c r="C86" s="0" t="s">
        <v>333</v>
      </c>
      <c r="D86" s="0" t="s">
        <v>319</v>
      </c>
      <c r="E86" s="0" t="s">
        <v>334</v>
      </c>
      <c r="F86" s="0" t="s">
        <v>141</v>
      </c>
      <c r="G86" s="0" t="s">
        <v>151</v>
      </c>
      <c r="H86" s="6" t="n">
        <f aca="false">'Export-dataset'!J8</f>
        <v>447</v>
      </c>
    </row>
    <row r="87" customFormat="false" ht="15" hidden="false" customHeight="false" outlineLevel="0" collapsed="false">
      <c r="A87" s="0" t="s">
        <v>61</v>
      </c>
      <c r="B87" s="0" t="n">
        <v>2021</v>
      </c>
      <c r="C87" s="0" t="s">
        <v>333</v>
      </c>
      <c r="D87" s="0" t="s">
        <v>319</v>
      </c>
      <c r="E87" s="0" t="s">
        <v>334</v>
      </c>
      <c r="F87" s="0" t="s">
        <v>141</v>
      </c>
      <c r="G87" s="0" t="s">
        <v>151</v>
      </c>
      <c r="H87" s="6" t="n">
        <f aca="false">'Export-dataset'!J9</f>
        <v>476</v>
      </c>
    </row>
    <row r="88" customFormat="false" ht="15" hidden="false" customHeight="false" outlineLevel="0" collapsed="false">
      <c r="A88" s="0" t="s">
        <v>61</v>
      </c>
      <c r="B88" s="0" t="n">
        <v>2022</v>
      </c>
      <c r="C88" s="0" t="s">
        <v>333</v>
      </c>
      <c r="D88" s="0" t="s">
        <v>319</v>
      </c>
      <c r="E88" s="0" t="s">
        <v>334</v>
      </c>
      <c r="F88" s="0" t="s">
        <v>141</v>
      </c>
      <c r="G88" s="0" t="s">
        <v>151</v>
      </c>
      <c r="H88" s="6" t="n">
        <f aca="false">'Export-dataset'!J10</f>
        <v>517</v>
      </c>
    </row>
    <row r="89" customFormat="false" ht="15" hidden="false" customHeight="false" outlineLevel="0" collapsed="false">
      <c r="A89" s="0" t="s">
        <v>61</v>
      </c>
      <c r="B89" s="0" t="n">
        <v>2023</v>
      </c>
      <c r="C89" s="0" t="s">
        <v>333</v>
      </c>
      <c r="D89" s="0" t="s">
        <v>319</v>
      </c>
      <c r="E89" s="0" t="s">
        <v>334</v>
      </c>
      <c r="F89" s="0" t="s">
        <v>141</v>
      </c>
      <c r="G89" s="0" t="s">
        <v>151</v>
      </c>
      <c r="H89" s="6" t="n">
        <f aca="false">'Export-dataset'!J11</f>
        <v>509</v>
      </c>
    </row>
    <row r="90" customFormat="false" ht="15" hidden="false" customHeight="false" outlineLevel="0" collapsed="false">
      <c r="A90" s="0" t="s">
        <v>61</v>
      </c>
      <c r="B90" s="0" t="n">
        <v>2024</v>
      </c>
      <c r="C90" s="0" t="s">
        <v>333</v>
      </c>
      <c r="D90" s="0" t="s">
        <v>319</v>
      </c>
      <c r="E90" s="0" t="s">
        <v>334</v>
      </c>
      <c r="F90" s="0" t="s">
        <v>141</v>
      </c>
      <c r="G90" s="0" t="s">
        <v>151</v>
      </c>
      <c r="H90" s="6" t="n">
        <f aca="false">'Export-dataset'!J12</f>
        <v>549</v>
      </c>
    </row>
    <row r="91" customFormat="false" ht="15" hidden="false" customHeight="false" outlineLevel="0" collapsed="false">
      <c r="A91" s="0" t="s">
        <v>61</v>
      </c>
      <c r="B91" s="0" t="n">
        <v>2025</v>
      </c>
      <c r="C91" s="0" t="s">
        <v>333</v>
      </c>
      <c r="D91" s="0" t="s">
        <v>319</v>
      </c>
      <c r="E91" s="0" t="s">
        <v>334</v>
      </c>
      <c r="F91" s="0" t="s">
        <v>141</v>
      </c>
      <c r="G91" s="0" t="s">
        <v>151</v>
      </c>
      <c r="H91" s="6" t="n">
        <f aca="false">'Export-dataset'!J13</f>
        <v>632</v>
      </c>
    </row>
    <row r="92" customFormat="false" ht="15" hidden="false" customHeight="false" outlineLevel="0" collapsed="false">
      <c r="A92" s="0" t="s">
        <v>61</v>
      </c>
      <c r="B92" s="0" t="n">
        <v>2016</v>
      </c>
      <c r="C92" s="0" t="s">
        <v>335</v>
      </c>
      <c r="D92" s="0" t="s">
        <v>319</v>
      </c>
      <c r="E92" s="0" t="s">
        <v>336</v>
      </c>
      <c r="F92" s="0" t="s">
        <v>141</v>
      </c>
      <c r="G92" s="0" t="s">
        <v>152</v>
      </c>
      <c r="H92" s="6" t="n">
        <f aca="false">'Export-dataset'!K4</f>
        <v>1174</v>
      </c>
    </row>
    <row r="93" customFormat="false" ht="15" hidden="false" customHeight="false" outlineLevel="0" collapsed="false">
      <c r="A93" s="0" t="s">
        <v>61</v>
      </c>
      <c r="B93" s="0" t="n">
        <v>2017</v>
      </c>
      <c r="C93" s="0" t="s">
        <v>335</v>
      </c>
      <c r="D93" s="0" t="s">
        <v>319</v>
      </c>
      <c r="E93" s="0" t="s">
        <v>336</v>
      </c>
      <c r="F93" s="0" t="s">
        <v>141</v>
      </c>
      <c r="G93" s="0" t="s">
        <v>152</v>
      </c>
      <c r="H93" s="6" t="n">
        <f aca="false">'Export-dataset'!K5</f>
        <v>1230</v>
      </c>
    </row>
    <row r="94" customFormat="false" ht="15" hidden="false" customHeight="false" outlineLevel="0" collapsed="false">
      <c r="A94" s="0" t="s">
        <v>61</v>
      </c>
      <c r="B94" s="0" t="n">
        <v>2018</v>
      </c>
      <c r="C94" s="0" t="s">
        <v>335</v>
      </c>
      <c r="D94" s="0" t="s">
        <v>319</v>
      </c>
      <c r="E94" s="0" t="s">
        <v>336</v>
      </c>
      <c r="F94" s="0" t="s">
        <v>141</v>
      </c>
      <c r="G94" s="0" t="s">
        <v>152</v>
      </c>
      <c r="H94" s="6" t="n">
        <f aca="false">'Export-dataset'!K6</f>
        <v>1359</v>
      </c>
    </row>
    <row r="95" customFormat="false" ht="15" hidden="false" customHeight="false" outlineLevel="0" collapsed="false">
      <c r="A95" s="0" t="s">
        <v>61</v>
      </c>
      <c r="B95" s="0" t="n">
        <v>2019</v>
      </c>
      <c r="C95" s="0" t="s">
        <v>335</v>
      </c>
      <c r="D95" s="0" t="s">
        <v>319</v>
      </c>
      <c r="E95" s="0" t="s">
        <v>336</v>
      </c>
      <c r="F95" s="0" t="s">
        <v>141</v>
      </c>
      <c r="G95" s="0" t="s">
        <v>152</v>
      </c>
      <c r="H95" s="6" t="n">
        <f aca="false">'Export-dataset'!K7</f>
        <v>1374</v>
      </c>
    </row>
    <row r="96" customFormat="false" ht="15" hidden="false" customHeight="false" outlineLevel="0" collapsed="false">
      <c r="A96" s="0" t="s">
        <v>61</v>
      </c>
      <c r="B96" s="0" t="n">
        <v>2020</v>
      </c>
      <c r="C96" s="0" t="s">
        <v>335</v>
      </c>
      <c r="D96" s="0" t="s">
        <v>319</v>
      </c>
      <c r="E96" s="0" t="s">
        <v>336</v>
      </c>
      <c r="F96" s="0" t="s">
        <v>141</v>
      </c>
      <c r="G96" s="0" t="s">
        <v>152</v>
      </c>
      <c r="H96" s="6" t="n">
        <f aca="false">'Export-dataset'!K8</f>
        <v>1310</v>
      </c>
    </row>
    <row r="97" customFormat="false" ht="15" hidden="false" customHeight="false" outlineLevel="0" collapsed="false">
      <c r="A97" s="0" t="s">
        <v>61</v>
      </c>
      <c r="B97" s="0" t="n">
        <v>2021</v>
      </c>
      <c r="C97" s="0" t="s">
        <v>335</v>
      </c>
      <c r="D97" s="0" t="s">
        <v>319</v>
      </c>
      <c r="E97" s="0" t="s">
        <v>336</v>
      </c>
      <c r="F97" s="0" t="s">
        <v>141</v>
      </c>
      <c r="G97" s="0" t="s">
        <v>152</v>
      </c>
      <c r="H97" s="6" t="n">
        <f aca="false">'Export-dataset'!K9</f>
        <v>1424</v>
      </c>
    </row>
    <row r="98" customFormat="false" ht="15" hidden="false" customHeight="false" outlineLevel="0" collapsed="false">
      <c r="A98" s="0" t="s">
        <v>61</v>
      </c>
      <c r="B98" s="0" t="n">
        <v>2022</v>
      </c>
      <c r="C98" s="0" t="s">
        <v>335</v>
      </c>
      <c r="D98" s="0" t="s">
        <v>319</v>
      </c>
      <c r="E98" s="0" t="s">
        <v>336</v>
      </c>
      <c r="F98" s="0" t="s">
        <v>141</v>
      </c>
      <c r="G98" s="0" t="s">
        <v>152</v>
      </c>
      <c r="H98" s="6" t="n">
        <f aca="false">'Export-dataset'!K10</f>
        <v>1719</v>
      </c>
    </row>
    <row r="99" customFormat="false" ht="15" hidden="false" customHeight="false" outlineLevel="0" collapsed="false">
      <c r="A99" s="0" t="s">
        <v>61</v>
      </c>
      <c r="B99" s="0" t="n">
        <v>2023</v>
      </c>
      <c r="C99" s="0" t="s">
        <v>335</v>
      </c>
      <c r="D99" s="0" t="s">
        <v>319</v>
      </c>
      <c r="E99" s="0" t="s">
        <v>336</v>
      </c>
      <c r="F99" s="0" t="s">
        <v>141</v>
      </c>
      <c r="G99" s="0" t="s">
        <v>152</v>
      </c>
      <c r="H99" s="6" t="n">
        <f aca="false">'Export-dataset'!K11</f>
        <v>1737</v>
      </c>
    </row>
    <row r="100" customFormat="false" ht="15" hidden="false" customHeight="false" outlineLevel="0" collapsed="false">
      <c r="A100" s="0" t="s">
        <v>61</v>
      </c>
      <c r="B100" s="0" t="n">
        <v>2024</v>
      </c>
      <c r="C100" s="0" t="s">
        <v>335</v>
      </c>
      <c r="D100" s="0" t="s">
        <v>319</v>
      </c>
      <c r="E100" s="0" t="s">
        <v>336</v>
      </c>
      <c r="F100" s="0" t="s">
        <v>141</v>
      </c>
      <c r="G100" s="0" t="s">
        <v>152</v>
      </c>
      <c r="H100" s="6" t="n">
        <f aca="false">'Export-dataset'!K12</f>
        <v>1573</v>
      </c>
    </row>
    <row r="101" customFormat="false" ht="15" hidden="false" customHeight="false" outlineLevel="0" collapsed="false">
      <c r="A101" s="0" t="s">
        <v>61</v>
      </c>
      <c r="B101" s="0" t="n">
        <v>2025</v>
      </c>
      <c r="C101" s="0" t="s">
        <v>335</v>
      </c>
      <c r="D101" s="0" t="s">
        <v>319</v>
      </c>
      <c r="E101" s="0" t="s">
        <v>336</v>
      </c>
      <c r="F101" s="0" t="s">
        <v>141</v>
      </c>
      <c r="G101" s="0" t="s">
        <v>152</v>
      </c>
      <c r="H101" s="6" t="n">
        <f aca="false">'Export-dataset'!K13</f>
        <v>1582</v>
      </c>
    </row>
    <row r="102" customFormat="false" ht="15" hidden="false" customHeight="false" outlineLevel="0" collapsed="false">
      <c r="A102" s="0" t="s">
        <v>61</v>
      </c>
      <c r="B102" s="0" t="n">
        <v>2016</v>
      </c>
      <c r="C102" s="0" t="s">
        <v>337</v>
      </c>
      <c r="D102" s="0" t="s">
        <v>319</v>
      </c>
      <c r="E102" s="0" t="s">
        <v>338</v>
      </c>
      <c r="F102" s="0" t="s">
        <v>141</v>
      </c>
      <c r="G102" s="0" t="s">
        <v>153</v>
      </c>
      <c r="H102" s="6" t="n">
        <f aca="false">'Export-dataset'!L4</f>
        <v>2478</v>
      </c>
    </row>
    <row r="103" customFormat="false" ht="15" hidden="false" customHeight="false" outlineLevel="0" collapsed="false">
      <c r="A103" s="0" t="s">
        <v>61</v>
      </c>
      <c r="B103" s="0" t="n">
        <v>2017</v>
      </c>
      <c r="C103" s="0" t="s">
        <v>337</v>
      </c>
      <c r="D103" s="0" t="s">
        <v>319</v>
      </c>
      <c r="E103" s="0" t="s">
        <v>338</v>
      </c>
      <c r="F103" s="0" t="s">
        <v>141</v>
      </c>
      <c r="G103" s="0" t="s">
        <v>153</v>
      </c>
      <c r="H103" s="6" t="n">
        <f aca="false">'Export-dataset'!L5</f>
        <v>3011</v>
      </c>
    </row>
    <row r="104" customFormat="false" ht="15" hidden="false" customHeight="false" outlineLevel="0" collapsed="false">
      <c r="A104" s="0" t="s">
        <v>61</v>
      </c>
      <c r="B104" s="0" t="n">
        <v>2018</v>
      </c>
      <c r="C104" s="0" t="s">
        <v>337</v>
      </c>
      <c r="D104" s="0" t="s">
        <v>319</v>
      </c>
      <c r="E104" s="0" t="s">
        <v>338</v>
      </c>
      <c r="F104" s="0" t="s">
        <v>141</v>
      </c>
      <c r="G104" s="0" t="s">
        <v>153</v>
      </c>
      <c r="H104" s="6" t="n">
        <f aca="false">'Export-dataset'!L6</f>
        <v>2946</v>
      </c>
    </row>
    <row r="105" customFormat="false" ht="15" hidden="false" customHeight="false" outlineLevel="0" collapsed="false">
      <c r="A105" s="0" t="s">
        <v>61</v>
      </c>
      <c r="B105" s="0" t="n">
        <v>2019</v>
      </c>
      <c r="C105" s="0" t="s">
        <v>337</v>
      </c>
      <c r="D105" s="0" t="s">
        <v>319</v>
      </c>
      <c r="E105" s="0" t="s">
        <v>338</v>
      </c>
      <c r="F105" s="0" t="s">
        <v>141</v>
      </c>
      <c r="G105" s="0" t="s">
        <v>153</v>
      </c>
      <c r="H105" s="6" t="n">
        <f aca="false">'Export-dataset'!L7</f>
        <v>2977</v>
      </c>
    </row>
    <row r="106" customFormat="false" ht="15" hidden="false" customHeight="false" outlineLevel="0" collapsed="false">
      <c r="A106" s="0" t="s">
        <v>61</v>
      </c>
      <c r="B106" s="0" t="n">
        <v>2020</v>
      </c>
      <c r="C106" s="0" t="s">
        <v>337</v>
      </c>
      <c r="D106" s="0" t="s">
        <v>319</v>
      </c>
      <c r="E106" s="0" t="s">
        <v>338</v>
      </c>
      <c r="F106" s="0" t="s">
        <v>141</v>
      </c>
      <c r="G106" s="0" t="s">
        <v>153</v>
      </c>
      <c r="H106" s="6" t="n">
        <f aca="false">'Export-dataset'!L8</f>
        <v>2591</v>
      </c>
    </row>
    <row r="107" customFormat="false" ht="15" hidden="false" customHeight="false" outlineLevel="0" collapsed="false">
      <c r="A107" s="0" t="s">
        <v>61</v>
      </c>
      <c r="B107" s="0" t="n">
        <v>2021</v>
      </c>
      <c r="C107" s="0" t="s">
        <v>337</v>
      </c>
      <c r="D107" s="0" t="s">
        <v>319</v>
      </c>
      <c r="E107" s="0" t="s">
        <v>338</v>
      </c>
      <c r="F107" s="0" t="s">
        <v>141</v>
      </c>
      <c r="G107" s="0" t="s">
        <v>153</v>
      </c>
      <c r="H107" s="6" t="n">
        <f aca="false">'Export-dataset'!L9</f>
        <v>2105</v>
      </c>
    </row>
    <row r="108" customFormat="false" ht="15" hidden="false" customHeight="false" outlineLevel="0" collapsed="false">
      <c r="A108" s="0" t="s">
        <v>61</v>
      </c>
      <c r="B108" s="0" t="n">
        <v>2022</v>
      </c>
      <c r="C108" s="0" t="s">
        <v>337</v>
      </c>
      <c r="D108" s="0" t="s">
        <v>319</v>
      </c>
      <c r="E108" s="0" t="s">
        <v>338</v>
      </c>
      <c r="F108" s="0" t="s">
        <v>141</v>
      </c>
      <c r="G108" s="0" t="s">
        <v>153</v>
      </c>
      <c r="H108" s="6" t="n">
        <f aca="false">'Export-dataset'!L10</f>
        <v>2160</v>
      </c>
    </row>
    <row r="109" customFormat="false" ht="15" hidden="false" customHeight="false" outlineLevel="0" collapsed="false">
      <c r="A109" s="0" t="s">
        <v>61</v>
      </c>
      <c r="B109" s="0" t="n">
        <v>2023</v>
      </c>
      <c r="C109" s="0" t="s">
        <v>337</v>
      </c>
      <c r="D109" s="0" t="s">
        <v>319</v>
      </c>
      <c r="E109" s="0" t="s">
        <v>338</v>
      </c>
      <c r="F109" s="0" t="s">
        <v>141</v>
      </c>
      <c r="G109" s="0" t="s">
        <v>153</v>
      </c>
      <c r="H109" s="6" t="n">
        <f aca="false">'Export-dataset'!L11</f>
        <v>2314</v>
      </c>
    </row>
    <row r="110" customFormat="false" ht="15" hidden="false" customHeight="false" outlineLevel="0" collapsed="false">
      <c r="A110" s="0" t="s">
        <v>61</v>
      </c>
      <c r="B110" s="0" t="n">
        <v>2024</v>
      </c>
      <c r="C110" s="0" t="s">
        <v>337</v>
      </c>
      <c r="D110" s="0" t="s">
        <v>319</v>
      </c>
      <c r="E110" s="0" t="s">
        <v>338</v>
      </c>
      <c r="F110" s="0" t="s">
        <v>141</v>
      </c>
      <c r="G110" s="0" t="s">
        <v>153</v>
      </c>
      <c r="H110" s="6" t="n">
        <f aca="false">'Export-dataset'!L12</f>
        <v>2253</v>
      </c>
    </row>
    <row r="111" customFormat="false" ht="15" hidden="false" customHeight="false" outlineLevel="0" collapsed="false">
      <c r="A111" s="0" t="s">
        <v>61</v>
      </c>
      <c r="B111" s="0" t="n">
        <v>2025</v>
      </c>
      <c r="C111" s="0" t="s">
        <v>337</v>
      </c>
      <c r="D111" s="0" t="s">
        <v>319</v>
      </c>
      <c r="E111" s="0" t="s">
        <v>338</v>
      </c>
      <c r="F111" s="0" t="s">
        <v>141</v>
      </c>
      <c r="G111" s="0" t="s">
        <v>153</v>
      </c>
      <c r="H111" s="6" t="n">
        <f aca="false">'Export-dataset'!L13</f>
        <v>2448</v>
      </c>
    </row>
    <row r="112" customFormat="false" ht="15" hidden="false" customHeight="false" outlineLevel="0" collapsed="false">
      <c r="A112" s="0" t="s">
        <v>61</v>
      </c>
      <c r="B112" s="0" t="n">
        <v>2016</v>
      </c>
      <c r="C112" s="0" t="s">
        <v>339</v>
      </c>
      <c r="D112" s="0" t="s">
        <v>316</v>
      </c>
      <c r="E112" s="0" t="s">
        <v>340</v>
      </c>
      <c r="F112" s="0" t="s">
        <v>141</v>
      </c>
      <c r="G112" s="0" t="s">
        <v>154</v>
      </c>
      <c r="H112" s="6" t="n">
        <f aca="false">'Export-dataset'!M4</f>
        <v>2679</v>
      </c>
    </row>
    <row r="113" customFormat="false" ht="15" hidden="false" customHeight="false" outlineLevel="0" collapsed="false">
      <c r="A113" s="0" t="s">
        <v>61</v>
      </c>
      <c r="B113" s="0" t="n">
        <v>2017</v>
      </c>
      <c r="C113" s="0" t="s">
        <v>339</v>
      </c>
      <c r="D113" s="0" t="s">
        <v>316</v>
      </c>
      <c r="E113" s="0" t="s">
        <v>340</v>
      </c>
      <c r="F113" s="0" t="s">
        <v>141</v>
      </c>
      <c r="G113" s="0" t="s">
        <v>154</v>
      </c>
      <c r="H113" s="6" t="n">
        <f aca="false">'Export-dataset'!M5</f>
        <v>3031</v>
      </c>
    </row>
    <row r="114" customFormat="false" ht="15" hidden="false" customHeight="false" outlineLevel="0" collapsed="false">
      <c r="A114" s="0" t="s">
        <v>61</v>
      </c>
      <c r="B114" s="0" t="n">
        <v>2018</v>
      </c>
      <c r="C114" s="0" t="s">
        <v>339</v>
      </c>
      <c r="D114" s="0" t="s">
        <v>316</v>
      </c>
      <c r="E114" s="0" t="s">
        <v>340</v>
      </c>
      <c r="F114" s="0" t="s">
        <v>141</v>
      </c>
      <c r="G114" s="0" t="s">
        <v>154</v>
      </c>
      <c r="H114" s="6" t="n">
        <f aca="false">'Export-dataset'!M6</f>
        <v>3377</v>
      </c>
    </row>
    <row r="115" customFormat="false" ht="15" hidden="false" customHeight="false" outlineLevel="0" collapsed="false">
      <c r="A115" s="0" t="s">
        <v>61</v>
      </c>
      <c r="B115" s="0" t="n">
        <v>2019</v>
      </c>
      <c r="C115" s="0" t="s">
        <v>339</v>
      </c>
      <c r="D115" s="0" t="s">
        <v>316</v>
      </c>
      <c r="E115" s="0" t="s">
        <v>340</v>
      </c>
      <c r="F115" s="0" t="s">
        <v>141</v>
      </c>
      <c r="G115" s="0" t="s">
        <v>154</v>
      </c>
      <c r="H115" s="6" t="n">
        <f aca="false">'Export-dataset'!M7</f>
        <v>3582</v>
      </c>
    </row>
    <row r="116" customFormat="false" ht="15" hidden="false" customHeight="false" outlineLevel="0" collapsed="false">
      <c r="A116" s="0" t="s">
        <v>61</v>
      </c>
      <c r="B116" s="0" t="n">
        <v>2020</v>
      </c>
      <c r="C116" s="0" t="s">
        <v>339</v>
      </c>
      <c r="D116" s="0" t="s">
        <v>316</v>
      </c>
      <c r="E116" s="0" t="s">
        <v>340</v>
      </c>
      <c r="F116" s="0" t="s">
        <v>141</v>
      </c>
      <c r="G116" s="0" t="s">
        <v>154</v>
      </c>
      <c r="H116" s="6" t="n">
        <f aca="false">'Export-dataset'!M8</f>
        <v>3283</v>
      </c>
    </row>
    <row r="117" customFormat="false" ht="15" hidden="false" customHeight="false" outlineLevel="0" collapsed="false">
      <c r="A117" s="0" t="s">
        <v>61</v>
      </c>
      <c r="B117" s="0" t="n">
        <v>2021</v>
      </c>
      <c r="C117" s="0" t="s">
        <v>339</v>
      </c>
      <c r="D117" s="0" t="s">
        <v>316</v>
      </c>
      <c r="E117" s="0" t="s">
        <v>340</v>
      </c>
      <c r="F117" s="0" t="s">
        <v>141</v>
      </c>
      <c r="G117" s="0" t="s">
        <v>154</v>
      </c>
      <c r="H117" s="6" t="n">
        <f aca="false">'Export-dataset'!M9</f>
        <v>2523</v>
      </c>
    </row>
    <row r="118" customFormat="false" ht="15" hidden="false" customHeight="false" outlineLevel="0" collapsed="false">
      <c r="A118" s="0" t="s">
        <v>61</v>
      </c>
      <c r="B118" s="0" t="n">
        <v>2022</v>
      </c>
      <c r="C118" s="0" t="s">
        <v>339</v>
      </c>
      <c r="D118" s="0" t="s">
        <v>316</v>
      </c>
      <c r="E118" s="0" t="s">
        <v>340</v>
      </c>
      <c r="F118" s="0" t="s">
        <v>141</v>
      </c>
      <c r="G118" s="0" t="s">
        <v>154</v>
      </c>
      <c r="H118" s="6" t="n">
        <f aca="false">'Export-dataset'!M10</f>
        <v>2572</v>
      </c>
    </row>
    <row r="119" customFormat="false" ht="15" hidden="false" customHeight="false" outlineLevel="0" collapsed="false">
      <c r="A119" s="0" t="s">
        <v>61</v>
      </c>
      <c r="B119" s="0" t="n">
        <v>2023</v>
      </c>
      <c r="C119" s="0" t="s">
        <v>339</v>
      </c>
      <c r="D119" s="0" t="s">
        <v>316</v>
      </c>
      <c r="E119" s="0" t="s">
        <v>340</v>
      </c>
      <c r="F119" s="0" t="s">
        <v>141</v>
      </c>
      <c r="G119" s="0" t="s">
        <v>154</v>
      </c>
      <c r="H119" s="6" t="n">
        <f aca="false">'Export-dataset'!M11</f>
        <v>2548</v>
      </c>
    </row>
    <row r="120" customFormat="false" ht="15" hidden="false" customHeight="false" outlineLevel="0" collapsed="false">
      <c r="A120" s="0" t="s">
        <v>61</v>
      </c>
      <c r="B120" s="0" t="n">
        <v>2024</v>
      </c>
      <c r="C120" s="0" t="s">
        <v>339</v>
      </c>
      <c r="D120" s="0" t="s">
        <v>316</v>
      </c>
      <c r="E120" s="0" t="s">
        <v>340</v>
      </c>
      <c r="F120" s="0" t="s">
        <v>141</v>
      </c>
      <c r="G120" s="0" t="s">
        <v>154</v>
      </c>
      <c r="H120" s="6" t="n">
        <f aca="false">'Export-dataset'!M12</f>
        <v>3179</v>
      </c>
    </row>
    <row r="121" customFormat="false" ht="15" hidden="false" customHeight="false" outlineLevel="0" collapsed="false">
      <c r="A121" s="0" t="s">
        <v>61</v>
      </c>
      <c r="B121" s="0" t="n">
        <v>2025</v>
      </c>
      <c r="C121" s="0" t="s">
        <v>339</v>
      </c>
      <c r="D121" s="0" t="s">
        <v>316</v>
      </c>
      <c r="E121" s="0" t="s">
        <v>340</v>
      </c>
      <c r="F121" s="0" t="s">
        <v>141</v>
      </c>
      <c r="G121" s="0" t="s">
        <v>154</v>
      </c>
      <c r="H121" s="6" t="n">
        <f aca="false">'Export-dataset'!M13</f>
        <v>3066</v>
      </c>
    </row>
    <row r="122" customFormat="false" ht="15" hidden="false" customHeight="false" outlineLevel="0" collapsed="false">
      <c r="A122" s="0" t="s">
        <v>61</v>
      </c>
      <c r="B122" s="0" t="n">
        <v>2016</v>
      </c>
      <c r="C122" s="0" t="s">
        <v>341</v>
      </c>
      <c r="D122" s="0" t="s">
        <v>319</v>
      </c>
      <c r="E122" s="0" t="s">
        <v>342</v>
      </c>
      <c r="F122" s="0" t="s">
        <v>141</v>
      </c>
      <c r="G122" s="0" t="s">
        <v>155</v>
      </c>
      <c r="H122" s="6" t="n">
        <f aca="false">'Export-dataset'!N4</f>
        <v>2610</v>
      </c>
    </row>
    <row r="123" customFormat="false" ht="15" hidden="false" customHeight="false" outlineLevel="0" collapsed="false">
      <c r="A123" s="0" t="s">
        <v>61</v>
      </c>
      <c r="B123" s="0" t="n">
        <v>2017</v>
      </c>
      <c r="C123" s="0" t="s">
        <v>341</v>
      </c>
      <c r="D123" s="0" t="s">
        <v>319</v>
      </c>
      <c r="E123" s="0" t="s">
        <v>342</v>
      </c>
      <c r="F123" s="0" t="s">
        <v>141</v>
      </c>
      <c r="G123" s="0" t="s">
        <v>155</v>
      </c>
      <c r="H123" s="6" t="n">
        <f aca="false">'Export-dataset'!N5</f>
        <v>2962</v>
      </c>
    </row>
    <row r="124" customFormat="false" ht="15" hidden="false" customHeight="false" outlineLevel="0" collapsed="false">
      <c r="A124" s="0" t="s">
        <v>61</v>
      </c>
      <c r="B124" s="0" t="n">
        <v>2018</v>
      </c>
      <c r="C124" s="0" t="s">
        <v>341</v>
      </c>
      <c r="D124" s="0" t="s">
        <v>319</v>
      </c>
      <c r="E124" s="0" t="s">
        <v>342</v>
      </c>
      <c r="F124" s="0" t="s">
        <v>141</v>
      </c>
      <c r="G124" s="0" t="s">
        <v>155</v>
      </c>
      <c r="H124" s="6" t="n">
        <f aca="false">'Export-dataset'!N6</f>
        <v>3318</v>
      </c>
    </row>
    <row r="125" customFormat="false" ht="15" hidden="false" customHeight="false" outlineLevel="0" collapsed="false">
      <c r="A125" s="0" t="s">
        <v>61</v>
      </c>
      <c r="B125" s="0" t="n">
        <v>2019</v>
      </c>
      <c r="C125" s="0" t="s">
        <v>341</v>
      </c>
      <c r="D125" s="0" t="s">
        <v>319</v>
      </c>
      <c r="E125" s="0" t="s">
        <v>342</v>
      </c>
      <c r="F125" s="0" t="s">
        <v>141</v>
      </c>
      <c r="G125" s="0" t="s">
        <v>155</v>
      </c>
      <c r="H125" s="6" t="n">
        <f aca="false">'Export-dataset'!N7</f>
        <v>3523</v>
      </c>
    </row>
    <row r="126" customFormat="false" ht="15" hidden="false" customHeight="false" outlineLevel="0" collapsed="false">
      <c r="A126" s="0" t="s">
        <v>61</v>
      </c>
      <c r="B126" s="0" t="n">
        <v>2020</v>
      </c>
      <c r="C126" s="0" t="s">
        <v>341</v>
      </c>
      <c r="D126" s="0" t="s">
        <v>319</v>
      </c>
      <c r="E126" s="0" t="s">
        <v>342</v>
      </c>
      <c r="F126" s="0" t="s">
        <v>141</v>
      </c>
      <c r="G126" s="0" t="s">
        <v>155</v>
      </c>
      <c r="H126" s="6" t="n">
        <f aca="false">'Export-dataset'!N8</f>
        <v>3246</v>
      </c>
    </row>
    <row r="127" customFormat="false" ht="15" hidden="false" customHeight="false" outlineLevel="0" collapsed="false">
      <c r="A127" s="0" t="s">
        <v>61</v>
      </c>
      <c r="B127" s="0" t="n">
        <v>2021</v>
      </c>
      <c r="C127" s="0" t="s">
        <v>341</v>
      </c>
      <c r="D127" s="0" t="s">
        <v>319</v>
      </c>
      <c r="E127" s="0" t="s">
        <v>342</v>
      </c>
      <c r="F127" s="0" t="s">
        <v>141</v>
      </c>
      <c r="G127" s="0" t="s">
        <v>155</v>
      </c>
      <c r="H127" s="6" t="n">
        <f aca="false">'Export-dataset'!N9</f>
        <v>2503</v>
      </c>
    </row>
    <row r="128" customFormat="false" ht="15" hidden="false" customHeight="false" outlineLevel="0" collapsed="false">
      <c r="A128" s="0" t="s">
        <v>61</v>
      </c>
      <c r="B128" s="0" t="n">
        <v>2022</v>
      </c>
      <c r="C128" s="0" t="s">
        <v>341</v>
      </c>
      <c r="D128" s="0" t="s">
        <v>319</v>
      </c>
      <c r="E128" s="0" t="s">
        <v>342</v>
      </c>
      <c r="F128" s="0" t="s">
        <v>141</v>
      </c>
      <c r="G128" s="0" t="s">
        <v>155</v>
      </c>
      <c r="H128" s="6" t="n">
        <f aca="false">'Export-dataset'!N10</f>
        <v>2553</v>
      </c>
    </row>
    <row r="129" customFormat="false" ht="15" hidden="false" customHeight="false" outlineLevel="0" collapsed="false">
      <c r="A129" s="0" t="s">
        <v>61</v>
      </c>
      <c r="B129" s="0" t="n">
        <v>2023</v>
      </c>
      <c r="C129" s="0" t="s">
        <v>341</v>
      </c>
      <c r="D129" s="0" t="s">
        <v>319</v>
      </c>
      <c r="E129" s="0" t="s">
        <v>342</v>
      </c>
      <c r="F129" s="0" t="s">
        <v>141</v>
      </c>
      <c r="G129" s="0" t="s">
        <v>155</v>
      </c>
      <c r="H129" s="6" t="n">
        <f aca="false">'Export-dataset'!N11</f>
        <v>2524</v>
      </c>
    </row>
    <row r="130" customFormat="false" ht="15" hidden="false" customHeight="false" outlineLevel="0" collapsed="false">
      <c r="A130" s="0" t="s">
        <v>61</v>
      </c>
      <c r="B130" s="0" t="n">
        <v>2024</v>
      </c>
      <c r="C130" s="0" t="s">
        <v>341</v>
      </c>
      <c r="D130" s="0" t="s">
        <v>319</v>
      </c>
      <c r="E130" s="0" t="s">
        <v>342</v>
      </c>
      <c r="F130" s="0" t="s">
        <v>141</v>
      </c>
      <c r="G130" s="0" t="s">
        <v>155</v>
      </c>
      <c r="H130" s="6" t="n">
        <f aca="false">'Export-dataset'!N12</f>
        <v>3159</v>
      </c>
    </row>
    <row r="131" customFormat="false" ht="15" hidden="false" customHeight="false" outlineLevel="0" collapsed="false">
      <c r="A131" s="0" t="s">
        <v>61</v>
      </c>
      <c r="B131" s="0" t="n">
        <v>2025</v>
      </c>
      <c r="C131" s="0" t="s">
        <v>341</v>
      </c>
      <c r="D131" s="0" t="s">
        <v>319</v>
      </c>
      <c r="E131" s="0" t="s">
        <v>342</v>
      </c>
      <c r="F131" s="0" t="s">
        <v>141</v>
      </c>
      <c r="G131" s="0" t="s">
        <v>155</v>
      </c>
      <c r="H131" s="6" t="n">
        <f aca="false">'Export-dataset'!N13</f>
        <v>3009</v>
      </c>
    </row>
    <row r="132" customFormat="false" ht="15" hidden="false" customHeight="false" outlineLevel="0" collapsed="false">
      <c r="A132" s="0" t="s">
        <v>61</v>
      </c>
      <c r="B132" s="0" t="n">
        <v>2016</v>
      </c>
      <c r="C132" s="0" t="s">
        <v>343</v>
      </c>
      <c r="D132" s="0" t="s">
        <v>319</v>
      </c>
      <c r="E132" s="0" t="s">
        <v>344</v>
      </c>
      <c r="F132" s="0" t="s">
        <v>141</v>
      </c>
      <c r="G132" s="0" t="s">
        <v>156</v>
      </c>
      <c r="H132" s="6" t="n">
        <f aca="false">'Export-dataset'!O4</f>
        <v>68</v>
      </c>
    </row>
    <row r="133" customFormat="false" ht="15" hidden="false" customHeight="false" outlineLevel="0" collapsed="false">
      <c r="A133" s="0" t="s">
        <v>61</v>
      </c>
      <c r="B133" s="0" t="n">
        <v>2017</v>
      </c>
      <c r="C133" s="0" t="s">
        <v>343</v>
      </c>
      <c r="D133" s="0" t="s">
        <v>319</v>
      </c>
      <c r="E133" s="0" t="s">
        <v>344</v>
      </c>
      <c r="F133" s="0" t="s">
        <v>141</v>
      </c>
      <c r="G133" s="0" t="s">
        <v>156</v>
      </c>
      <c r="H133" s="6" t="n">
        <f aca="false">'Export-dataset'!O5</f>
        <v>67</v>
      </c>
    </row>
    <row r="134" customFormat="false" ht="15" hidden="false" customHeight="false" outlineLevel="0" collapsed="false">
      <c r="A134" s="0" t="s">
        <v>61</v>
      </c>
      <c r="B134" s="0" t="n">
        <v>2018</v>
      </c>
      <c r="C134" s="0" t="s">
        <v>343</v>
      </c>
      <c r="D134" s="0" t="s">
        <v>319</v>
      </c>
      <c r="E134" s="0" t="s">
        <v>344</v>
      </c>
      <c r="F134" s="0" t="s">
        <v>141</v>
      </c>
      <c r="G134" s="0" t="s">
        <v>156</v>
      </c>
      <c r="H134" s="6" t="n">
        <f aca="false">'Export-dataset'!O6</f>
        <v>59</v>
      </c>
    </row>
    <row r="135" customFormat="false" ht="15" hidden="false" customHeight="false" outlineLevel="0" collapsed="false">
      <c r="A135" s="0" t="s">
        <v>61</v>
      </c>
      <c r="B135" s="0" t="n">
        <v>2019</v>
      </c>
      <c r="C135" s="0" t="s">
        <v>343</v>
      </c>
      <c r="D135" s="0" t="s">
        <v>319</v>
      </c>
      <c r="E135" s="0" t="s">
        <v>344</v>
      </c>
      <c r="F135" s="0" t="s">
        <v>141</v>
      </c>
      <c r="G135" s="0" t="s">
        <v>156</v>
      </c>
      <c r="H135" s="6" t="n">
        <f aca="false">'Export-dataset'!O7</f>
        <v>59</v>
      </c>
    </row>
    <row r="136" customFormat="false" ht="15" hidden="false" customHeight="false" outlineLevel="0" collapsed="false">
      <c r="A136" s="0" t="s">
        <v>61</v>
      </c>
      <c r="B136" s="0" t="n">
        <v>2020</v>
      </c>
      <c r="C136" s="0" t="s">
        <v>343</v>
      </c>
      <c r="D136" s="0" t="s">
        <v>319</v>
      </c>
      <c r="E136" s="0" t="s">
        <v>344</v>
      </c>
      <c r="F136" s="0" t="s">
        <v>141</v>
      </c>
      <c r="G136" s="0" t="s">
        <v>156</v>
      </c>
      <c r="H136" s="6" t="n">
        <f aca="false">'Export-dataset'!O8</f>
        <v>37</v>
      </c>
    </row>
    <row r="137" customFormat="false" ht="15" hidden="false" customHeight="false" outlineLevel="0" collapsed="false">
      <c r="A137" s="0" t="s">
        <v>61</v>
      </c>
      <c r="B137" s="0" t="n">
        <v>2021</v>
      </c>
      <c r="C137" s="0" t="s">
        <v>343</v>
      </c>
      <c r="D137" s="0" t="s">
        <v>319</v>
      </c>
      <c r="E137" s="0" t="s">
        <v>344</v>
      </c>
      <c r="F137" s="0" t="s">
        <v>141</v>
      </c>
      <c r="G137" s="0" t="s">
        <v>156</v>
      </c>
      <c r="H137" s="6" t="n">
        <f aca="false">'Export-dataset'!O9</f>
        <v>21</v>
      </c>
    </row>
    <row r="138" customFormat="false" ht="15" hidden="false" customHeight="false" outlineLevel="0" collapsed="false">
      <c r="A138" s="0" t="s">
        <v>61</v>
      </c>
      <c r="B138" s="0" t="n">
        <v>2022</v>
      </c>
      <c r="C138" s="0" t="s">
        <v>343</v>
      </c>
      <c r="D138" s="0" t="s">
        <v>319</v>
      </c>
      <c r="E138" s="0" t="s">
        <v>344</v>
      </c>
      <c r="F138" s="0" t="s">
        <v>141</v>
      </c>
      <c r="G138" s="0" t="s">
        <v>156</v>
      </c>
      <c r="H138" s="6" t="n">
        <f aca="false">'Export-dataset'!O10</f>
        <v>19</v>
      </c>
    </row>
    <row r="139" customFormat="false" ht="15" hidden="false" customHeight="false" outlineLevel="0" collapsed="false">
      <c r="A139" s="0" t="s">
        <v>61</v>
      </c>
      <c r="B139" s="0" t="n">
        <v>2023</v>
      </c>
      <c r="C139" s="0" t="s">
        <v>343</v>
      </c>
      <c r="D139" s="0" t="s">
        <v>319</v>
      </c>
      <c r="E139" s="0" t="s">
        <v>344</v>
      </c>
      <c r="F139" s="0" t="s">
        <v>141</v>
      </c>
      <c r="G139" s="0" t="s">
        <v>156</v>
      </c>
      <c r="H139" s="6" t="n">
        <f aca="false">'Export-dataset'!O11</f>
        <v>24</v>
      </c>
    </row>
    <row r="140" customFormat="false" ht="15" hidden="false" customHeight="false" outlineLevel="0" collapsed="false">
      <c r="A140" s="0" t="s">
        <v>61</v>
      </c>
      <c r="B140" s="0" t="n">
        <v>2024</v>
      </c>
      <c r="C140" s="0" t="s">
        <v>343</v>
      </c>
      <c r="D140" s="0" t="s">
        <v>319</v>
      </c>
      <c r="E140" s="0" t="s">
        <v>344</v>
      </c>
      <c r="F140" s="0" t="s">
        <v>141</v>
      </c>
      <c r="G140" s="0" t="s">
        <v>156</v>
      </c>
      <c r="H140" s="6" t="n">
        <f aca="false">'Export-dataset'!O12</f>
        <v>20</v>
      </c>
    </row>
    <row r="141" customFormat="false" ht="15" hidden="false" customHeight="false" outlineLevel="0" collapsed="false">
      <c r="A141" s="0" t="s">
        <v>61</v>
      </c>
      <c r="B141" s="0" t="n">
        <v>2025</v>
      </c>
      <c r="C141" s="0" t="s">
        <v>343</v>
      </c>
      <c r="D141" s="0" t="s">
        <v>319</v>
      </c>
      <c r="E141" s="0" t="s">
        <v>344</v>
      </c>
      <c r="F141" s="0" t="s">
        <v>141</v>
      </c>
      <c r="G141" s="0" t="s">
        <v>156</v>
      </c>
      <c r="H141" s="6" t="n">
        <f aca="false">'Export-dataset'!O13</f>
        <v>58</v>
      </c>
    </row>
    <row r="142" customFormat="false" ht="15" hidden="false" customHeight="false" outlineLevel="0" collapsed="false">
      <c r="A142" s="0" t="s">
        <v>61</v>
      </c>
      <c r="B142" s="0" t="n">
        <v>2016</v>
      </c>
      <c r="C142" s="0" t="s">
        <v>345</v>
      </c>
      <c r="D142" s="0" t="s">
        <v>316</v>
      </c>
      <c r="E142" s="0" t="s">
        <v>346</v>
      </c>
      <c r="F142" s="0" t="s">
        <v>141</v>
      </c>
      <c r="G142" s="0" t="s">
        <v>157</v>
      </c>
      <c r="H142" s="6" t="n">
        <f aca="false">'Export-dataset'!P4</f>
        <v>83621</v>
      </c>
    </row>
    <row r="143" customFormat="false" ht="15" hidden="false" customHeight="false" outlineLevel="0" collapsed="false">
      <c r="A143" s="0" t="s">
        <v>61</v>
      </c>
      <c r="B143" s="0" t="n">
        <v>2017</v>
      </c>
      <c r="C143" s="0" t="s">
        <v>345</v>
      </c>
      <c r="D143" s="0" t="s">
        <v>316</v>
      </c>
      <c r="E143" s="0" t="s">
        <v>346</v>
      </c>
      <c r="F143" s="0" t="s">
        <v>141</v>
      </c>
      <c r="G143" s="0" t="s">
        <v>157</v>
      </c>
      <c r="H143" s="6" t="n">
        <f aca="false">'Export-dataset'!P5</f>
        <v>99473</v>
      </c>
    </row>
    <row r="144" customFormat="false" ht="15" hidden="false" customHeight="false" outlineLevel="0" collapsed="false">
      <c r="A144" s="0" t="s">
        <v>61</v>
      </c>
      <c r="B144" s="0" t="n">
        <v>2018</v>
      </c>
      <c r="C144" s="0" t="s">
        <v>345</v>
      </c>
      <c r="D144" s="0" t="s">
        <v>316</v>
      </c>
      <c r="E144" s="0" t="s">
        <v>346</v>
      </c>
      <c r="F144" s="0" t="s">
        <v>141</v>
      </c>
      <c r="G144" s="0" t="s">
        <v>157</v>
      </c>
      <c r="H144" s="6" t="n">
        <f aca="false">'Export-dataset'!P6</f>
        <v>106879</v>
      </c>
    </row>
    <row r="145" customFormat="false" ht="15" hidden="false" customHeight="false" outlineLevel="0" collapsed="false">
      <c r="A145" s="0" t="s">
        <v>61</v>
      </c>
      <c r="B145" s="0" t="n">
        <v>2019</v>
      </c>
      <c r="C145" s="0" t="s">
        <v>345</v>
      </c>
      <c r="D145" s="0" t="s">
        <v>316</v>
      </c>
      <c r="E145" s="0" t="s">
        <v>346</v>
      </c>
      <c r="F145" s="0" t="s">
        <v>141</v>
      </c>
      <c r="G145" s="0" t="s">
        <v>157</v>
      </c>
      <c r="H145" s="6" t="n">
        <f aca="false">'Export-dataset'!P7</f>
        <v>136415</v>
      </c>
    </row>
    <row r="146" customFormat="false" ht="15" hidden="false" customHeight="false" outlineLevel="0" collapsed="false">
      <c r="A146" s="0" t="s">
        <v>61</v>
      </c>
      <c r="B146" s="0" t="n">
        <v>2020</v>
      </c>
      <c r="C146" s="0" t="s">
        <v>345</v>
      </c>
      <c r="D146" s="0" t="s">
        <v>316</v>
      </c>
      <c r="E146" s="0" t="s">
        <v>346</v>
      </c>
      <c r="F146" s="0" t="s">
        <v>141</v>
      </c>
      <c r="G146" s="0" t="s">
        <v>157</v>
      </c>
      <c r="H146" s="6" t="n">
        <f aca="false">'Export-dataset'!P8</f>
        <v>151968</v>
      </c>
    </row>
    <row r="147" customFormat="false" ht="15" hidden="false" customHeight="false" outlineLevel="0" collapsed="false">
      <c r="A147" s="0" t="s">
        <v>61</v>
      </c>
      <c r="B147" s="0" t="n">
        <v>2021</v>
      </c>
      <c r="C147" s="0" t="s">
        <v>345</v>
      </c>
      <c r="D147" s="0" t="s">
        <v>316</v>
      </c>
      <c r="E147" s="0" t="s">
        <v>346</v>
      </c>
      <c r="F147" s="0" t="s">
        <v>141</v>
      </c>
      <c r="G147" s="0" t="s">
        <v>157</v>
      </c>
      <c r="H147" s="6" t="n">
        <f aca="false">'Export-dataset'!P9</f>
        <v>198179</v>
      </c>
    </row>
    <row r="148" customFormat="false" ht="15" hidden="false" customHeight="false" outlineLevel="0" collapsed="false">
      <c r="A148" s="0" t="s">
        <v>61</v>
      </c>
      <c r="B148" s="0" t="n">
        <v>2022</v>
      </c>
      <c r="C148" s="0" t="s">
        <v>345</v>
      </c>
      <c r="D148" s="0" t="s">
        <v>316</v>
      </c>
      <c r="E148" s="0" t="s">
        <v>346</v>
      </c>
      <c r="F148" s="0" t="s">
        <v>141</v>
      </c>
      <c r="G148" s="0" t="s">
        <v>157</v>
      </c>
      <c r="H148" s="6" t="n">
        <f aca="false">'Export-dataset'!P10</f>
        <v>188296</v>
      </c>
    </row>
    <row r="149" customFormat="false" ht="15" hidden="false" customHeight="false" outlineLevel="0" collapsed="false">
      <c r="A149" s="0" t="s">
        <v>61</v>
      </c>
      <c r="B149" s="0" t="n">
        <v>2023</v>
      </c>
      <c r="C149" s="0" t="s">
        <v>345</v>
      </c>
      <c r="D149" s="0" t="s">
        <v>316</v>
      </c>
      <c r="E149" s="0" t="s">
        <v>346</v>
      </c>
      <c r="F149" s="0" t="s">
        <v>141</v>
      </c>
      <c r="G149" s="0" t="s">
        <v>157</v>
      </c>
      <c r="H149" s="6" t="n">
        <f aca="false">'Export-dataset'!P11</f>
        <v>202961</v>
      </c>
    </row>
    <row r="150" customFormat="false" ht="15" hidden="false" customHeight="false" outlineLevel="0" collapsed="false">
      <c r="A150" s="0" t="s">
        <v>61</v>
      </c>
      <c r="B150" s="0" t="n">
        <v>2024</v>
      </c>
      <c r="C150" s="0" t="s">
        <v>345</v>
      </c>
      <c r="D150" s="0" t="s">
        <v>316</v>
      </c>
      <c r="E150" s="0" t="s">
        <v>346</v>
      </c>
      <c r="F150" s="0" t="s">
        <v>141</v>
      </c>
      <c r="G150" s="0" t="s">
        <v>157</v>
      </c>
      <c r="H150" s="6" t="n">
        <f aca="false">'Export-dataset'!P12</f>
        <v>179588</v>
      </c>
    </row>
    <row r="151" customFormat="false" ht="15" hidden="false" customHeight="false" outlineLevel="0" collapsed="false">
      <c r="A151" s="0" t="s">
        <v>61</v>
      </c>
      <c r="B151" s="0" t="n">
        <v>2025</v>
      </c>
      <c r="C151" s="0" t="s">
        <v>345</v>
      </c>
      <c r="D151" s="0" t="s">
        <v>316</v>
      </c>
      <c r="E151" s="0" t="s">
        <v>346</v>
      </c>
      <c r="F151" s="0" t="s">
        <v>141</v>
      </c>
      <c r="G151" s="0" t="s">
        <v>157</v>
      </c>
      <c r="H151" s="6" t="n">
        <f aca="false">'Export-dataset'!P13</f>
        <v>180651</v>
      </c>
    </row>
    <row r="152" customFormat="false" ht="15" hidden="false" customHeight="false" outlineLevel="0" collapsed="false">
      <c r="A152" s="0" t="s">
        <v>61</v>
      </c>
      <c r="B152" s="0" t="n">
        <v>2016</v>
      </c>
      <c r="C152" s="0" t="s">
        <v>347</v>
      </c>
      <c r="D152" s="0" t="s">
        <v>319</v>
      </c>
      <c r="E152" s="0" t="s">
        <v>348</v>
      </c>
      <c r="F152" s="0" t="s">
        <v>141</v>
      </c>
      <c r="G152" s="0" t="s">
        <v>158</v>
      </c>
      <c r="H152" s="6" t="n">
        <f aca="false">'Export-dataset'!Q4</f>
        <v>827</v>
      </c>
    </row>
    <row r="153" customFormat="false" ht="15" hidden="false" customHeight="false" outlineLevel="0" collapsed="false">
      <c r="A153" s="0" t="s">
        <v>61</v>
      </c>
      <c r="B153" s="0" t="n">
        <v>2017</v>
      </c>
      <c r="C153" s="0" t="s">
        <v>347</v>
      </c>
      <c r="D153" s="0" t="s">
        <v>319</v>
      </c>
      <c r="E153" s="0" t="s">
        <v>348</v>
      </c>
      <c r="F153" s="0" t="s">
        <v>141</v>
      </c>
      <c r="G153" s="0" t="s">
        <v>158</v>
      </c>
      <c r="H153" s="6" t="n">
        <f aca="false">'Export-dataset'!Q5</f>
        <v>808</v>
      </c>
    </row>
    <row r="154" customFormat="false" ht="15" hidden="false" customHeight="false" outlineLevel="0" collapsed="false">
      <c r="A154" s="0" t="s">
        <v>61</v>
      </c>
      <c r="B154" s="0" t="n">
        <v>2018</v>
      </c>
      <c r="C154" s="0" t="s">
        <v>347</v>
      </c>
      <c r="D154" s="0" t="s">
        <v>319</v>
      </c>
      <c r="E154" s="0" t="s">
        <v>348</v>
      </c>
      <c r="F154" s="0" t="s">
        <v>141</v>
      </c>
      <c r="G154" s="0" t="s">
        <v>158</v>
      </c>
      <c r="H154" s="6" t="n">
        <f aca="false">'Export-dataset'!Q6</f>
        <v>731</v>
      </c>
    </row>
    <row r="155" customFormat="false" ht="15" hidden="false" customHeight="false" outlineLevel="0" collapsed="false">
      <c r="A155" s="0" t="s">
        <v>61</v>
      </c>
      <c r="B155" s="0" t="n">
        <v>2019</v>
      </c>
      <c r="C155" s="0" t="s">
        <v>347</v>
      </c>
      <c r="D155" s="0" t="s">
        <v>319</v>
      </c>
      <c r="E155" s="0" t="s">
        <v>348</v>
      </c>
      <c r="F155" s="0" t="s">
        <v>141</v>
      </c>
      <c r="G155" s="0" t="s">
        <v>158</v>
      </c>
      <c r="H155" s="6" t="n">
        <f aca="false">'Export-dataset'!Q7</f>
        <v>579</v>
      </c>
    </row>
    <row r="156" customFormat="false" ht="15" hidden="false" customHeight="false" outlineLevel="0" collapsed="false">
      <c r="A156" s="0" t="s">
        <v>61</v>
      </c>
      <c r="B156" s="0" t="n">
        <v>2020</v>
      </c>
      <c r="C156" s="0" t="s">
        <v>347</v>
      </c>
      <c r="D156" s="0" t="s">
        <v>319</v>
      </c>
      <c r="E156" s="0" t="s">
        <v>348</v>
      </c>
      <c r="F156" s="0" t="s">
        <v>141</v>
      </c>
      <c r="G156" s="0" t="s">
        <v>158</v>
      </c>
      <c r="H156" s="6" t="n">
        <f aca="false">'Export-dataset'!Q8</f>
        <v>414</v>
      </c>
    </row>
    <row r="157" customFormat="false" ht="15" hidden="false" customHeight="false" outlineLevel="0" collapsed="false">
      <c r="A157" s="0" t="s">
        <v>61</v>
      </c>
      <c r="B157" s="0" t="n">
        <v>2021</v>
      </c>
      <c r="C157" s="0" t="s">
        <v>347</v>
      </c>
      <c r="D157" s="0" t="s">
        <v>319</v>
      </c>
      <c r="E157" s="0" t="s">
        <v>348</v>
      </c>
      <c r="F157" s="0" t="s">
        <v>141</v>
      </c>
      <c r="G157" s="0" t="s">
        <v>158</v>
      </c>
      <c r="H157" s="6" t="n">
        <f aca="false">'Export-dataset'!Q9</f>
        <v>504</v>
      </c>
    </row>
    <row r="158" customFormat="false" ht="15" hidden="false" customHeight="false" outlineLevel="0" collapsed="false">
      <c r="A158" s="0" t="s">
        <v>61</v>
      </c>
      <c r="B158" s="0" t="n">
        <v>2022</v>
      </c>
      <c r="C158" s="0" t="s">
        <v>347</v>
      </c>
      <c r="D158" s="0" t="s">
        <v>319</v>
      </c>
      <c r="E158" s="0" t="s">
        <v>348</v>
      </c>
      <c r="F158" s="0" t="s">
        <v>141</v>
      </c>
      <c r="G158" s="0" t="s">
        <v>158</v>
      </c>
      <c r="H158" s="6" t="n">
        <f aca="false">'Export-dataset'!Q10</f>
        <v>454</v>
      </c>
    </row>
    <row r="159" customFormat="false" ht="15" hidden="false" customHeight="false" outlineLevel="0" collapsed="false">
      <c r="A159" s="0" t="s">
        <v>61</v>
      </c>
      <c r="B159" s="0" t="n">
        <v>2023</v>
      </c>
      <c r="C159" s="0" t="s">
        <v>347</v>
      </c>
      <c r="D159" s="0" t="s">
        <v>319</v>
      </c>
      <c r="E159" s="0" t="s">
        <v>348</v>
      </c>
      <c r="F159" s="0" t="s">
        <v>141</v>
      </c>
      <c r="G159" s="0" t="s">
        <v>158</v>
      </c>
      <c r="H159" s="6" t="n">
        <f aca="false">'Export-dataset'!Q11</f>
        <v>451</v>
      </c>
    </row>
    <row r="160" customFormat="false" ht="15" hidden="false" customHeight="false" outlineLevel="0" collapsed="false">
      <c r="A160" s="0" t="s">
        <v>61</v>
      </c>
      <c r="B160" s="0" t="n">
        <v>2024</v>
      </c>
      <c r="C160" s="0" t="s">
        <v>347</v>
      </c>
      <c r="D160" s="0" t="s">
        <v>319</v>
      </c>
      <c r="E160" s="0" t="s">
        <v>348</v>
      </c>
      <c r="F160" s="0" t="s">
        <v>141</v>
      </c>
      <c r="G160" s="0" t="s">
        <v>158</v>
      </c>
      <c r="H160" s="6" t="n">
        <f aca="false">'Export-dataset'!Q12</f>
        <v>532</v>
      </c>
    </row>
    <row r="161" customFormat="false" ht="15" hidden="false" customHeight="false" outlineLevel="0" collapsed="false">
      <c r="A161" s="0" t="s">
        <v>61</v>
      </c>
      <c r="B161" s="0" t="n">
        <v>2025</v>
      </c>
      <c r="C161" s="0" t="s">
        <v>347</v>
      </c>
      <c r="D161" s="0" t="s">
        <v>319</v>
      </c>
      <c r="E161" s="0" t="s">
        <v>348</v>
      </c>
      <c r="F161" s="0" t="s">
        <v>141</v>
      </c>
      <c r="G161" s="0" t="s">
        <v>158</v>
      </c>
      <c r="H161" s="6" t="n">
        <f aca="false">'Export-dataset'!Q13</f>
        <v>546</v>
      </c>
    </row>
    <row r="162" customFormat="false" ht="15" hidden="false" customHeight="false" outlineLevel="0" collapsed="false">
      <c r="A162" s="0" t="s">
        <v>61</v>
      </c>
      <c r="B162" s="0" t="n">
        <v>2016</v>
      </c>
      <c r="C162" s="0" t="s">
        <v>349</v>
      </c>
      <c r="D162" s="0" t="s">
        <v>319</v>
      </c>
      <c r="E162" s="0" t="s">
        <v>350</v>
      </c>
      <c r="F162" s="0" t="s">
        <v>141</v>
      </c>
      <c r="G162" s="0" t="s">
        <v>159</v>
      </c>
      <c r="H162" s="6" t="n">
        <f aca="false">'Export-dataset'!R4</f>
        <v>1415</v>
      </c>
    </row>
    <row r="163" customFormat="false" ht="15" hidden="false" customHeight="false" outlineLevel="0" collapsed="false">
      <c r="A163" s="0" t="s">
        <v>61</v>
      </c>
      <c r="B163" s="0" t="n">
        <v>2017</v>
      </c>
      <c r="C163" s="0" t="s">
        <v>349</v>
      </c>
      <c r="D163" s="0" t="s">
        <v>319</v>
      </c>
      <c r="E163" s="0" t="s">
        <v>350</v>
      </c>
      <c r="F163" s="0" t="s">
        <v>141</v>
      </c>
      <c r="G163" s="0" t="s">
        <v>159</v>
      </c>
      <c r="H163" s="6" t="n">
        <f aca="false">'Export-dataset'!R5</f>
        <v>1906</v>
      </c>
    </row>
    <row r="164" customFormat="false" ht="15" hidden="false" customHeight="false" outlineLevel="0" collapsed="false">
      <c r="A164" s="0" t="s">
        <v>61</v>
      </c>
      <c r="B164" s="0" t="n">
        <v>2018</v>
      </c>
      <c r="C164" s="0" t="s">
        <v>349</v>
      </c>
      <c r="D164" s="0" t="s">
        <v>319</v>
      </c>
      <c r="E164" s="0" t="s">
        <v>350</v>
      </c>
      <c r="F164" s="0" t="s">
        <v>141</v>
      </c>
      <c r="G164" s="0" t="s">
        <v>159</v>
      </c>
      <c r="H164" s="6" t="n">
        <f aca="false">'Export-dataset'!R6</f>
        <v>1398</v>
      </c>
    </row>
    <row r="165" customFormat="false" ht="15" hidden="false" customHeight="false" outlineLevel="0" collapsed="false">
      <c r="A165" s="0" t="s">
        <v>61</v>
      </c>
      <c r="B165" s="0" t="n">
        <v>2019</v>
      </c>
      <c r="C165" s="0" t="s">
        <v>349</v>
      </c>
      <c r="D165" s="0" t="s">
        <v>319</v>
      </c>
      <c r="E165" s="0" t="s">
        <v>350</v>
      </c>
      <c r="F165" s="0" t="s">
        <v>141</v>
      </c>
      <c r="G165" s="0" t="s">
        <v>159</v>
      </c>
      <c r="H165" s="6" t="n">
        <f aca="false">'Export-dataset'!R7</f>
        <v>1051</v>
      </c>
    </row>
    <row r="166" customFormat="false" ht="15" hidden="false" customHeight="false" outlineLevel="0" collapsed="false">
      <c r="A166" s="0" t="s">
        <v>61</v>
      </c>
      <c r="B166" s="0" t="n">
        <v>2020</v>
      </c>
      <c r="C166" s="0" t="s">
        <v>349</v>
      </c>
      <c r="D166" s="0" t="s">
        <v>319</v>
      </c>
      <c r="E166" s="0" t="s">
        <v>350</v>
      </c>
      <c r="F166" s="0" t="s">
        <v>141</v>
      </c>
      <c r="G166" s="0" t="s">
        <v>159</v>
      </c>
      <c r="H166" s="6" t="n">
        <f aca="false">'Export-dataset'!R8</f>
        <v>1183</v>
      </c>
    </row>
    <row r="167" customFormat="false" ht="15" hidden="false" customHeight="false" outlineLevel="0" collapsed="false">
      <c r="A167" s="0" t="s">
        <v>61</v>
      </c>
      <c r="B167" s="0" t="n">
        <v>2021</v>
      </c>
      <c r="C167" s="0" t="s">
        <v>349</v>
      </c>
      <c r="D167" s="0" t="s">
        <v>319</v>
      </c>
      <c r="E167" s="0" t="s">
        <v>350</v>
      </c>
      <c r="F167" s="0" t="s">
        <v>141</v>
      </c>
      <c r="G167" s="0" t="s">
        <v>159</v>
      </c>
      <c r="H167" s="6" t="n">
        <f aca="false">'Export-dataset'!R9</f>
        <v>3166</v>
      </c>
    </row>
    <row r="168" customFormat="false" ht="15" hidden="false" customHeight="false" outlineLevel="0" collapsed="false">
      <c r="A168" s="0" t="s">
        <v>61</v>
      </c>
      <c r="B168" s="0" t="n">
        <v>2022</v>
      </c>
      <c r="C168" s="0" t="s">
        <v>349</v>
      </c>
      <c r="D168" s="0" t="s">
        <v>319</v>
      </c>
      <c r="E168" s="0" t="s">
        <v>350</v>
      </c>
      <c r="F168" s="0" t="s">
        <v>141</v>
      </c>
      <c r="G168" s="0" t="s">
        <v>159</v>
      </c>
      <c r="H168" s="6" t="n">
        <f aca="false">'Export-dataset'!R10</f>
        <v>7762</v>
      </c>
    </row>
    <row r="169" customFormat="false" ht="15" hidden="false" customHeight="false" outlineLevel="0" collapsed="false">
      <c r="A169" s="0" t="s">
        <v>61</v>
      </c>
      <c r="B169" s="0" t="n">
        <v>2023</v>
      </c>
      <c r="C169" s="0" t="s">
        <v>349</v>
      </c>
      <c r="D169" s="0" t="s">
        <v>319</v>
      </c>
      <c r="E169" s="0" t="s">
        <v>350</v>
      </c>
      <c r="F169" s="0" t="s">
        <v>141</v>
      </c>
      <c r="G169" s="0" t="s">
        <v>159</v>
      </c>
      <c r="H169" s="6" t="n">
        <f aca="false">'Export-dataset'!R11</f>
        <v>5508</v>
      </c>
    </row>
    <row r="170" customFormat="false" ht="15" hidden="false" customHeight="false" outlineLevel="0" collapsed="false">
      <c r="A170" s="0" t="s">
        <v>61</v>
      </c>
      <c r="B170" s="0" t="n">
        <v>2024</v>
      </c>
      <c r="C170" s="0" t="s">
        <v>349</v>
      </c>
      <c r="D170" s="0" t="s">
        <v>319</v>
      </c>
      <c r="E170" s="0" t="s">
        <v>350</v>
      </c>
      <c r="F170" s="0" t="s">
        <v>141</v>
      </c>
      <c r="G170" s="0" t="s">
        <v>159</v>
      </c>
      <c r="H170" s="6" t="n">
        <f aca="false">'Export-dataset'!R12</f>
        <v>5005</v>
      </c>
    </row>
    <row r="171" customFormat="false" ht="15" hidden="false" customHeight="false" outlineLevel="0" collapsed="false">
      <c r="A171" s="0" t="s">
        <v>61</v>
      </c>
      <c r="B171" s="0" t="n">
        <v>2025</v>
      </c>
      <c r="C171" s="0" t="s">
        <v>349</v>
      </c>
      <c r="D171" s="0" t="s">
        <v>319</v>
      </c>
      <c r="E171" s="0" t="s">
        <v>350</v>
      </c>
      <c r="F171" s="0" t="s">
        <v>141</v>
      </c>
      <c r="G171" s="0" t="s">
        <v>159</v>
      </c>
      <c r="H171" s="6" t="n">
        <f aca="false">'Export-dataset'!R13</f>
        <v>4616</v>
      </c>
    </row>
    <row r="172" customFormat="false" ht="15" hidden="false" customHeight="false" outlineLevel="0" collapsed="false">
      <c r="A172" s="0" t="s">
        <v>61</v>
      </c>
      <c r="B172" s="0" t="n">
        <v>2016</v>
      </c>
      <c r="C172" s="0" t="s">
        <v>351</v>
      </c>
      <c r="D172" s="0" t="s">
        <v>319</v>
      </c>
      <c r="E172" s="0" t="s">
        <v>352</v>
      </c>
      <c r="F172" s="0" t="s">
        <v>141</v>
      </c>
      <c r="G172" s="0" t="s">
        <v>160</v>
      </c>
      <c r="H172" s="6" t="n">
        <f aca="false">'Export-dataset'!S4</f>
        <v>7</v>
      </c>
    </row>
    <row r="173" customFormat="false" ht="15" hidden="false" customHeight="false" outlineLevel="0" collapsed="false">
      <c r="A173" s="0" t="s">
        <v>61</v>
      </c>
      <c r="B173" s="0" t="n">
        <v>2017</v>
      </c>
      <c r="C173" s="0" t="s">
        <v>351</v>
      </c>
      <c r="D173" s="0" t="s">
        <v>319</v>
      </c>
      <c r="E173" s="0" t="s">
        <v>352</v>
      </c>
      <c r="F173" s="0" t="s">
        <v>141</v>
      </c>
      <c r="G173" s="0" t="s">
        <v>160</v>
      </c>
      <c r="H173" s="6" t="n">
        <f aca="false">'Export-dataset'!S5</f>
        <v>0</v>
      </c>
    </row>
    <row r="174" customFormat="false" ht="15" hidden="false" customHeight="false" outlineLevel="0" collapsed="false">
      <c r="A174" s="0" t="s">
        <v>61</v>
      </c>
      <c r="B174" s="0" t="n">
        <v>2018</v>
      </c>
      <c r="C174" s="0" t="s">
        <v>351</v>
      </c>
      <c r="D174" s="0" t="s">
        <v>319</v>
      </c>
      <c r="E174" s="0" t="s">
        <v>352</v>
      </c>
      <c r="F174" s="0" t="s">
        <v>141</v>
      </c>
      <c r="G174" s="0" t="s">
        <v>160</v>
      </c>
      <c r="H174" s="6" t="n">
        <f aca="false">'Export-dataset'!S6</f>
        <v>15</v>
      </c>
    </row>
    <row r="175" customFormat="false" ht="15" hidden="false" customHeight="false" outlineLevel="0" collapsed="false">
      <c r="A175" s="0" t="s">
        <v>61</v>
      </c>
      <c r="B175" s="0" t="n">
        <v>2019</v>
      </c>
      <c r="C175" s="0" t="s">
        <v>351</v>
      </c>
      <c r="D175" s="0" t="s">
        <v>319</v>
      </c>
      <c r="E175" s="0" t="s">
        <v>352</v>
      </c>
      <c r="F175" s="0" t="s">
        <v>141</v>
      </c>
      <c r="G175" s="0" t="s">
        <v>160</v>
      </c>
      <c r="H175" s="6" t="n">
        <f aca="false">'Export-dataset'!S7</f>
        <v>20</v>
      </c>
    </row>
    <row r="176" customFormat="false" ht="15" hidden="false" customHeight="false" outlineLevel="0" collapsed="false">
      <c r="A176" s="0" t="s">
        <v>61</v>
      </c>
      <c r="B176" s="0" t="n">
        <v>2020</v>
      </c>
      <c r="C176" s="0" t="s">
        <v>351</v>
      </c>
      <c r="D176" s="0" t="s">
        <v>319</v>
      </c>
      <c r="E176" s="0" t="s">
        <v>352</v>
      </c>
      <c r="F176" s="0" t="s">
        <v>141</v>
      </c>
      <c r="G176" s="0" t="s">
        <v>160</v>
      </c>
      <c r="H176" s="6" t="n">
        <f aca="false">'Export-dataset'!S8</f>
        <v>10</v>
      </c>
    </row>
    <row r="177" customFormat="false" ht="15" hidden="false" customHeight="false" outlineLevel="0" collapsed="false">
      <c r="A177" s="0" t="s">
        <v>61</v>
      </c>
      <c r="B177" s="0" t="n">
        <v>2021</v>
      </c>
      <c r="C177" s="0" t="s">
        <v>351</v>
      </c>
      <c r="D177" s="0" t="s">
        <v>319</v>
      </c>
      <c r="E177" s="0" t="s">
        <v>352</v>
      </c>
      <c r="F177" s="0" t="s">
        <v>141</v>
      </c>
      <c r="G177" s="0" t="s">
        <v>160</v>
      </c>
      <c r="H177" s="6" t="n">
        <f aca="false">'Export-dataset'!S9</f>
        <v>11</v>
      </c>
    </row>
    <row r="178" customFormat="false" ht="15" hidden="false" customHeight="false" outlineLevel="0" collapsed="false">
      <c r="A178" s="0" t="s">
        <v>61</v>
      </c>
      <c r="B178" s="0" t="n">
        <v>2022</v>
      </c>
      <c r="C178" s="0" t="s">
        <v>351</v>
      </c>
      <c r="D178" s="0" t="s">
        <v>319</v>
      </c>
      <c r="E178" s="0" t="s">
        <v>352</v>
      </c>
      <c r="F178" s="0" t="s">
        <v>141</v>
      </c>
      <c r="G178" s="0" t="s">
        <v>160</v>
      </c>
      <c r="H178" s="6" t="n">
        <f aca="false">'Export-dataset'!S10</f>
        <v>9</v>
      </c>
    </row>
    <row r="179" customFormat="false" ht="15" hidden="false" customHeight="false" outlineLevel="0" collapsed="false">
      <c r="A179" s="0" t="s">
        <v>61</v>
      </c>
      <c r="B179" s="0" t="n">
        <v>2023</v>
      </c>
      <c r="C179" s="0" t="s">
        <v>351</v>
      </c>
      <c r="D179" s="0" t="s">
        <v>319</v>
      </c>
      <c r="E179" s="0" t="s">
        <v>352</v>
      </c>
      <c r="F179" s="0" t="s">
        <v>141</v>
      </c>
      <c r="G179" s="0" t="s">
        <v>160</v>
      </c>
      <c r="H179" s="6" t="n">
        <f aca="false">'Export-dataset'!S11</f>
        <v>14</v>
      </c>
    </row>
    <row r="180" customFormat="false" ht="15" hidden="false" customHeight="false" outlineLevel="0" collapsed="false">
      <c r="A180" s="0" t="s">
        <v>61</v>
      </c>
      <c r="B180" s="0" t="n">
        <v>2024</v>
      </c>
      <c r="C180" s="0" t="s">
        <v>351</v>
      </c>
      <c r="D180" s="0" t="s">
        <v>319</v>
      </c>
      <c r="E180" s="0" t="s">
        <v>352</v>
      </c>
      <c r="F180" s="0" t="s">
        <v>141</v>
      </c>
      <c r="G180" s="0" t="s">
        <v>160</v>
      </c>
      <c r="H180" s="6" t="n">
        <f aca="false">'Export-dataset'!S12</f>
        <v>20</v>
      </c>
    </row>
    <row r="181" customFormat="false" ht="15" hidden="false" customHeight="false" outlineLevel="0" collapsed="false">
      <c r="A181" s="0" t="s">
        <v>61</v>
      </c>
      <c r="B181" s="0" t="n">
        <v>2025</v>
      </c>
      <c r="C181" s="0" t="s">
        <v>351</v>
      </c>
      <c r="D181" s="0" t="s">
        <v>319</v>
      </c>
      <c r="E181" s="0" t="s">
        <v>352</v>
      </c>
      <c r="F181" s="0" t="s">
        <v>141</v>
      </c>
      <c r="G181" s="0" t="s">
        <v>160</v>
      </c>
      <c r="H181" s="6" t="n">
        <f aca="false">'Export-dataset'!S13</f>
        <v>30</v>
      </c>
    </row>
    <row r="182" customFormat="false" ht="15" hidden="false" customHeight="false" outlineLevel="0" collapsed="false">
      <c r="A182" s="0" t="s">
        <v>61</v>
      </c>
      <c r="B182" s="0" t="n">
        <v>2016</v>
      </c>
      <c r="C182" s="0" t="s">
        <v>353</v>
      </c>
      <c r="D182" s="0" t="s">
        <v>319</v>
      </c>
      <c r="E182" s="0" t="s">
        <v>354</v>
      </c>
      <c r="F182" s="0" t="s">
        <v>141</v>
      </c>
      <c r="G182" s="0" t="s">
        <v>161</v>
      </c>
      <c r="H182" s="6" t="n">
        <f aca="false">'Export-dataset'!T4</f>
        <v>1769</v>
      </c>
    </row>
    <row r="183" customFormat="false" ht="15" hidden="false" customHeight="false" outlineLevel="0" collapsed="false">
      <c r="A183" s="0" t="s">
        <v>61</v>
      </c>
      <c r="B183" s="0" t="n">
        <v>2017</v>
      </c>
      <c r="C183" s="0" t="s">
        <v>353</v>
      </c>
      <c r="D183" s="0" t="s">
        <v>319</v>
      </c>
      <c r="E183" s="0" t="s">
        <v>354</v>
      </c>
      <c r="F183" s="0" t="s">
        <v>141</v>
      </c>
      <c r="G183" s="0" t="s">
        <v>161</v>
      </c>
      <c r="H183" s="6" t="n">
        <f aca="false">'Export-dataset'!T5</f>
        <v>1975</v>
      </c>
    </row>
    <row r="184" customFormat="false" ht="15" hidden="false" customHeight="false" outlineLevel="0" collapsed="false">
      <c r="A184" s="0" t="s">
        <v>61</v>
      </c>
      <c r="B184" s="0" t="n">
        <v>2018</v>
      </c>
      <c r="C184" s="0" t="s">
        <v>353</v>
      </c>
      <c r="D184" s="0" t="s">
        <v>319</v>
      </c>
      <c r="E184" s="0" t="s">
        <v>354</v>
      </c>
      <c r="F184" s="0" t="s">
        <v>141</v>
      </c>
      <c r="G184" s="0" t="s">
        <v>161</v>
      </c>
      <c r="H184" s="6" t="n">
        <f aca="false">'Export-dataset'!T6</f>
        <v>2218</v>
      </c>
    </row>
    <row r="185" customFormat="false" ht="15" hidden="false" customHeight="false" outlineLevel="0" collapsed="false">
      <c r="A185" s="0" t="s">
        <v>61</v>
      </c>
      <c r="B185" s="0" t="n">
        <v>2019</v>
      </c>
      <c r="C185" s="0" t="s">
        <v>353</v>
      </c>
      <c r="D185" s="0" t="s">
        <v>319</v>
      </c>
      <c r="E185" s="0" t="s">
        <v>354</v>
      </c>
      <c r="F185" s="0" t="s">
        <v>141</v>
      </c>
      <c r="G185" s="0" t="s">
        <v>161</v>
      </c>
      <c r="H185" s="6" t="n">
        <f aca="false">'Export-dataset'!T7</f>
        <v>2225</v>
      </c>
    </row>
    <row r="186" customFormat="false" ht="15" hidden="false" customHeight="false" outlineLevel="0" collapsed="false">
      <c r="A186" s="0" t="s">
        <v>61</v>
      </c>
      <c r="B186" s="0" t="n">
        <v>2020</v>
      </c>
      <c r="C186" s="0" t="s">
        <v>353</v>
      </c>
      <c r="D186" s="0" t="s">
        <v>319</v>
      </c>
      <c r="E186" s="0" t="s">
        <v>354</v>
      </c>
      <c r="F186" s="0" t="s">
        <v>141</v>
      </c>
      <c r="G186" s="0" t="s">
        <v>161</v>
      </c>
      <c r="H186" s="6" t="n">
        <f aca="false">'Export-dataset'!T8</f>
        <v>1669</v>
      </c>
    </row>
    <row r="187" customFormat="false" ht="15" hidden="false" customHeight="false" outlineLevel="0" collapsed="false">
      <c r="A187" s="0" t="s">
        <v>61</v>
      </c>
      <c r="B187" s="0" t="n">
        <v>2021</v>
      </c>
      <c r="C187" s="0" t="s">
        <v>353</v>
      </c>
      <c r="D187" s="0" t="s">
        <v>319</v>
      </c>
      <c r="E187" s="0" t="s">
        <v>354</v>
      </c>
      <c r="F187" s="0" t="s">
        <v>141</v>
      </c>
      <c r="G187" s="0" t="s">
        <v>161</v>
      </c>
      <c r="H187" s="6" t="n">
        <f aca="false">'Export-dataset'!T9</f>
        <v>1338</v>
      </c>
    </row>
    <row r="188" customFormat="false" ht="15" hidden="false" customHeight="false" outlineLevel="0" collapsed="false">
      <c r="A188" s="0" t="s">
        <v>61</v>
      </c>
      <c r="B188" s="0" t="n">
        <v>2022</v>
      </c>
      <c r="C188" s="0" t="s">
        <v>353</v>
      </c>
      <c r="D188" s="0" t="s">
        <v>319</v>
      </c>
      <c r="E188" s="0" t="s">
        <v>354</v>
      </c>
      <c r="F188" s="0" t="s">
        <v>141</v>
      </c>
      <c r="G188" s="0" t="s">
        <v>161</v>
      </c>
      <c r="H188" s="6" t="n">
        <f aca="false">'Export-dataset'!T10</f>
        <v>1523</v>
      </c>
    </row>
    <row r="189" customFormat="false" ht="15" hidden="false" customHeight="false" outlineLevel="0" collapsed="false">
      <c r="A189" s="0" t="s">
        <v>61</v>
      </c>
      <c r="B189" s="0" t="n">
        <v>2023</v>
      </c>
      <c r="C189" s="0" t="s">
        <v>353</v>
      </c>
      <c r="D189" s="0" t="s">
        <v>319</v>
      </c>
      <c r="E189" s="0" t="s">
        <v>354</v>
      </c>
      <c r="F189" s="0" t="s">
        <v>141</v>
      </c>
      <c r="G189" s="0" t="s">
        <v>161</v>
      </c>
      <c r="H189" s="6" t="n">
        <f aca="false">'Export-dataset'!T11</f>
        <v>1435</v>
      </c>
    </row>
    <row r="190" customFormat="false" ht="15" hidden="false" customHeight="false" outlineLevel="0" collapsed="false">
      <c r="A190" s="0" t="s">
        <v>61</v>
      </c>
      <c r="B190" s="0" t="n">
        <v>2024</v>
      </c>
      <c r="C190" s="0" t="s">
        <v>353</v>
      </c>
      <c r="D190" s="0" t="s">
        <v>319</v>
      </c>
      <c r="E190" s="0" t="s">
        <v>354</v>
      </c>
      <c r="F190" s="0" t="s">
        <v>141</v>
      </c>
      <c r="G190" s="0" t="s">
        <v>161</v>
      </c>
      <c r="H190" s="6" t="n">
        <f aca="false">'Export-dataset'!T12</f>
        <v>1424</v>
      </c>
    </row>
    <row r="191" customFormat="false" ht="15" hidden="false" customHeight="false" outlineLevel="0" collapsed="false">
      <c r="A191" s="0" t="s">
        <v>61</v>
      </c>
      <c r="B191" s="0" t="n">
        <v>2025</v>
      </c>
      <c r="C191" s="0" t="s">
        <v>353</v>
      </c>
      <c r="D191" s="0" t="s">
        <v>319</v>
      </c>
      <c r="E191" s="0" t="s">
        <v>354</v>
      </c>
      <c r="F191" s="0" t="s">
        <v>141</v>
      </c>
      <c r="G191" s="0" t="s">
        <v>161</v>
      </c>
      <c r="H191" s="6" t="n">
        <f aca="false">'Export-dataset'!T13</f>
        <v>1521</v>
      </c>
    </row>
    <row r="192" customFormat="false" ht="15" hidden="false" customHeight="false" outlineLevel="0" collapsed="false">
      <c r="A192" s="0" t="s">
        <v>61</v>
      </c>
      <c r="B192" s="0" t="n">
        <v>2016</v>
      </c>
      <c r="C192" s="0" t="s">
        <v>355</v>
      </c>
      <c r="D192" s="0" t="s">
        <v>319</v>
      </c>
      <c r="E192" s="0" t="s">
        <v>356</v>
      </c>
      <c r="F192" s="0" t="s">
        <v>141</v>
      </c>
      <c r="G192" s="0" t="s">
        <v>162</v>
      </c>
      <c r="H192" s="6" t="n">
        <f aca="false">'Export-dataset'!U4</f>
        <v>242</v>
      </c>
    </row>
    <row r="193" customFormat="false" ht="15" hidden="false" customHeight="false" outlineLevel="0" collapsed="false">
      <c r="A193" s="0" t="s">
        <v>61</v>
      </c>
      <c r="B193" s="0" t="n">
        <v>2017</v>
      </c>
      <c r="C193" s="0" t="s">
        <v>355</v>
      </c>
      <c r="D193" s="0" t="s">
        <v>319</v>
      </c>
      <c r="E193" s="0" t="s">
        <v>356</v>
      </c>
      <c r="F193" s="0" t="s">
        <v>141</v>
      </c>
      <c r="G193" s="0" t="s">
        <v>162</v>
      </c>
      <c r="H193" s="6" t="n">
        <f aca="false">'Export-dataset'!U5</f>
        <v>277</v>
      </c>
    </row>
    <row r="194" customFormat="false" ht="15" hidden="false" customHeight="false" outlineLevel="0" collapsed="false">
      <c r="A194" s="0" t="s">
        <v>61</v>
      </c>
      <c r="B194" s="0" t="n">
        <v>2018</v>
      </c>
      <c r="C194" s="0" t="s">
        <v>355</v>
      </c>
      <c r="D194" s="0" t="s">
        <v>319</v>
      </c>
      <c r="E194" s="0" t="s">
        <v>356</v>
      </c>
      <c r="F194" s="0" t="s">
        <v>141</v>
      </c>
      <c r="G194" s="0" t="s">
        <v>162</v>
      </c>
      <c r="H194" s="6" t="n">
        <f aca="false">'Export-dataset'!U6</f>
        <v>238</v>
      </c>
    </row>
    <row r="195" customFormat="false" ht="15" hidden="false" customHeight="false" outlineLevel="0" collapsed="false">
      <c r="A195" s="0" t="s">
        <v>61</v>
      </c>
      <c r="B195" s="0" t="n">
        <v>2019</v>
      </c>
      <c r="C195" s="0" t="s">
        <v>355</v>
      </c>
      <c r="D195" s="0" t="s">
        <v>319</v>
      </c>
      <c r="E195" s="0" t="s">
        <v>356</v>
      </c>
      <c r="F195" s="0" t="s">
        <v>141</v>
      </c>
      <c r="G195" s="0" t="s">
        <v>162</v>
      </c>
      <c r="H195" s="6" t="n">
        <f aca="false">'Export-dataset'!U7</f>
        <v>183</v>
      </c>
    </row>
    <row r="196" customFormat="false" ht="15" hidden="false" customHeight="false" outlineLevel="0" collapsed="false">
      <c r="A196" s="0" t="s">
        <v>61</v>
      </c>
      <c r="B196" s="0" t="n">
        <v>2020</v>
      </c>
      <c r="C196" s="0" t="s">
        <v>355</v>
      </c>
      <c r="D196" s="0" t="s">
        <v>319</v>
      </c>
      <c r="E196" s="0" t="s">
        <v>356</v>
      </c>
      <c r="F196" s="0" t="s">
        <v>141</v>
      </c>
      <c r="G196" s="0" t="s">
        <v>162</v>
      </c>
      <c r="H196" s="6" t="n">
        <f aca="false">'Export-dataset'!U8</f>
        <v>172</v>
      </c>
    </row>
    <row r="197" customFormat="false" ht="15" hidden="false" customHeight="false" outlineLevel="0" collapsed="false">
      <c r="A197" s="0" t="s">
        <v>61</v>
      </c>
      <c r="B197" s="0" t="n">
        <v>2021</v>
      </c>
      <c r="C197" s="0" t="s">
        <v>355</v>
      </c>
      <c r="D197" s="0" t="s">
        <v>319</v>
      </c>
      <c r="E197" s="0" t="s">
        <v>356</v>
      </c>
      <c r="F197" s="0" t="s">
        <v>141</v>
      </c>
      <c r="G197" s="0" t="s">
        <v>162</v>
      </c>
      <c r="H197" s="6" t="n">
        <f aca="false">'Export-dataset'!U9</f>
        <v>266</v>
      </c>
    </row>
    <row r="198" customFormat="false" ht="15" hidden="false" customHeight="false" outlineLevel="0" collapsed="false">
      <c r="A198" s="0" t="s">
        <v>61</v>
      </c>
      <c r="B198" s="0" t="n">
        <v>2022</v>
      </c>
      <c r="C198" s="0" t="s">
        <v>355</v>
      </c>
      <c r="D198" s="0" t="s">
        <v>319</v>
      </c>
      <c r="E198" s="0" t="s">
        <v>356</v>
      </c>
      <c r="F198" s="0" t="s">
        <v>141</v>
      </c>
      <c r="G198" s="0" t="s">
        <v>162</v>
      </c>
      <c r="H198" s="6" t="n">
        <f aca="false">'Export-dataset'!U10</f>
        <v>307</v>
      </c>
    </row>
    <row r="199" customFormat="false" ht="15" hidden="false" customHeight="false" outlineLevel="0" collapsed="false">
      <c r="A199" s="0" t="s">
        <v>61</v>
      </c>
      <c r="B199" s="0" t="n">
        <v>2023</v>
      </c>
      <c r="C199" s="0" t="s">
        <v>355</v>
      </c>
      <c r="D199" s="0" t="s">
        <v>319</v>
      </c>
      <c r="E199" s="0" t="s">
        <v>356</v>
      </c>
      <c r="F199" s="0" t="s">
        <v>141</v>
      </c>
      <c r="G199" s="0" t="s">
        <v>162</v>
      </c>
      <c r="H199" s="6" t="n">
        <f aca="false">'Export-dataset'!U11</f>
        <v>203</v>
      </c>
    </row>
    <row r="200" customFormat="false" ht="15" hidden="false" customHeight="false" outlineLevel="0" collapsed="false">
      <c r="A200" s="0" t="s">
        <v>61</v>
      </c>
      <c r="B200" s="0" t="n">
        <v>2024</v>
      </c>
      <c r="C200" s="0" t="s">
        <v>355</v>
      </c>
      <c r="D200" s="0" t="s">
        <v>319</v>
      </c>
      <c r="E200" s="0" t="s">
        <v>356</v>
      </c>
      <c r="F200" s="0" t="s">
        <v>141</v>
      </c>
      <c r="G200" s="0" t="s">
        <v>162</v>
      </c>
      <c r="H200" s="6" t="n">
        <f aca="false">'Export-dataset'!U12</f>
        <v>242</v>
      </c>
    </row>
    <row r="201" customFormat="false" ht="15" hidden="false" customHeight="false" outlineLevel="0" collapsed="false">
      <c r="A201" s="0" t="s">
        <v>61</v>
      </c>
      <c r="B201" s="0" t="n">
        <v>2025</v>
      </c>
      <c r="C201" s="0" t="s">
        <v>355</v>
      </c>
      <c r="D201" s="0" t="s">
        <v>319</v>
      </c>
      <c r="E201" s="0" t="s">
        <v>356</v>
      </c>
      <c r="F201" s="0" t="s">
        <v>141</v>
      </c>
      <c r="G201" s="0" t="s">
        <v>162</v>
      </c>
      <c r="H201" s="6" t="n">
        <f aca="false">'Export-dataset'!U13</f>
        <v>274</v>
      </c>
    </row>
    <row r="202" customFormat="false" ht="15" hidden="false" customHeight="false" outlineLevel="0" collapsed="false">
      <c r="A202" s="0" t="s">
        <v>61</v>
      </c>
      <c r="B202" s="0" t="n">
        <v>2016</v>
      </c>
      <c r="C202" s="0" t="s">
        <v>357</v>
      </c>
      <c r="D202" s="0" t="s">
        <v>319</v>
      </c>
      <c r="E202" s="0" t="s">
        <v>358</v>
      </c>
      <c r="F202" s="0" t="s">
        <v>141</v>
      </c>
      <c r="G202" s="0" t="s">
        <v>163</v>
      </c>
      <c r="H202" s="6" t="n">
        <f aca="false">'Export-dataset'!V4</f>
        <v>4722</v>
      </c>
    </row>
    <row r="203" customFormat="false" ht="15" hidden="false" customHeight="false" outlineLevel="0" collapsed="false">
      <c r="A203" s="0" t="s">
        <v>61</v>
      </c>
      <c r="B203" s="0" t="n">
        <v>2017</v>
      </c>
      <c r="C203" s="0" t="s">
        <v>357</v>
      </c>
      <c r="D203" s="0" t="s">
        <v>319</v>
      </c>
      <c r="E203" s="0" t="s">
        <v>358</v>
      </c>
      <c r="F203" s="0" t="s">
        <v>141</v>
      </c>
      <c r="G203" s="0" t="s">
        <v>163</v>
      </c>
      <c r="H203" s="6" t="n">
        <f aca="false">'Export-dataset'!V5</f>
        <v>5852</v>
      </c>
    </row>
    <row r="204" customFormat="false" ht="15" hidden="false" customHeight="false" outlineLevel="0" collapsed="false">
      <c r="A204" s="0" t="s">
        <v>61</v>
      </c>
      <c r="B204" s="0" t="n">
        <v>2018</v>
      </c>
      <c r="C204" s="0" t="s">
        <v>357</v>
      </c>
      <c r="D204" s="0" t="s">
        <v>319</v>
      </c>
      <c r="E204" s="0" t="s">
        <v>358</v>
      </c>
      <c r="F204" s="0" t="s">
        <v>141</v>
      </c>
      <c r="G204" s="0" t="s">
        <v>163</v>
      </c>
      <c r="H204" s="6" t="n">
        <f aca="false">'Export-dataset'!V6</f>
        <v>6474</v>
      </c>
    </row>
    <row r="205" customFormat="false" ht="15" hidden="false" customHeight="false" outlineLevel="0" collapsed="false">
      <c r="A205" s="0" t="s">
        <v>61</v>
      </c>
      <c r="B205" s="0" t="n">
        <v>2019</v>
      </c>
      <c r="C205" s="0" t="s">
        <v>357</v>
      </c>
      <c r="D205" s="0" t="s">
        <v>319</v>
      </c>
      <c r="E205" s="0" t="s">
        <v>358</v>
      </c>
      <c r="F205" s="0" t="s">
        <v>141</v>
      </c>
      <c r="G205" s="0" t="s">
        <v>163</v>
      </c>
      <c r="H205" s="6" t="n">
        <f aca="false">'Export-dataset'!V7</f>
        <v>4844</v>
      </c>
    </row>
    <row r="206" customFormat="false" ht="15" hidden="false" customHeight="false" outlineLevel="0" collapsed="false">
      <c r="A206" s="0" t="s">
        <v>61</v>
      </c>
      <c r="B206" s="0" t="n">
        <v>2020</v>
      </c>
      <c r="C206" s="0" t="s">
        <v>357</v>
      </c>
      <c r="D206" s="0" t="s">
        <v>319</v>
      </c>
      <c r="E206" s="0" t="s">
        <v>358</v>
      </c>
      <c r="F206" s="0" t="s">
        <v>141</v>
      </c>
      <c r="G206" s="0" t="s">
        <v>163</v>
      </c>
      <c r="H206" s="6" t="n">
        <f aca="false">'Export-dataset'!V8</f>
        <v>2739</v>
      </c>
    </row>
    <row r="207" customFormat="false" ht="15" hidden="false" customHeight="false" outlineLevel="0" collapsed="false">
      <c r="A207" s="0" t="s">
        <v>61</v>
      </c>
      <c r="B207" s="0" t="n">
        <v>2021</v>
      </c>
      <c r="C207" s="0" t="s">
        <v>357</v>
      </c>
      <c r="D207" s="0" t="s">
        <v>319</v>
      </c>
      <c r="E207" s="0" t="s">
        <v>358</v>
      </c>
      <c r="F207" s="0" t="s">
        <v>141</v>
      </c>
      <c r="G207" s="0" t="s">
        <v>163</v>
      </c>
      <c r="H207" s="6" t="n">
        <f aca="false">'Export-dataset'!V9</f>
        <v>5081</v>
      </c>
    </row>
    <row r="208" customFormat="false" ht="15" hidden="false" customHeight="false" outlineLevel="0" collapsed="false">
      <c r="A208" s="0" t="s">
        <v>61</v>
      </c>
      <c r="B208" s="0" t="n">
        <v>2022</v>
      </c>
      <c r="C208" s="0" t="s">
        <v>357</v>
      </c>
      <c r="D208" s="0" t="s">
        <v>319</v>
      </c>
      <c r="E208" s="0" t="s">
        <v>358</v>
      </c>
      <c r="F208" s="0" t="s">
        <v>141</v>
      </c>
      <c r="G208" s="0" t="s">
        <v>163</v>
      </c>
      <c r="H208" s="6" t="n">
        <f aca="false">'Export-dataset'!V10</f>
        <v>7710</v>
      </c>
    </row>
    <row r="209" customFormat="false" ht="15" hidden="false" customHeight="false" outlineLevel="0" collapsed="false">
      <c r="A209" s="0" t="s">
        <v>61</v>
      </c>
      <c r="B209" s="0" t="n">
        <v>2023</v>
      </c>
      <c r="C209" s="0" t="s">
        <v>357</v>
      </c>
      <c r="D209" s="0" t="s">
        <v>319</v>
      </c>
      <c r="E209" s="0" t="s">
        <v>358</v>
      </c>
      <c r="F209" s="0" t="s">
        <v>141</v>
      </c>
      <c r="G209" s="0" t="s">
        <v>163</v>
      </c>
      <c r="H209" s="6" t="n">
        <f aca="false">'Export-dataset'!V11</f>
        <v>7407</v>
      </c>
    </row>
    <row r="210" customFormat="false" ht="15" hidden="false" customHeight="false" outlineLevel="0" collapsed="false">
      <c r="A210" s="0" t="s">
        <v>61</v>
      </c>
      <c r="B210" s="0" t="n">
        <v>2024</v>
      </c>
      <c r="C210" s="0" t="s">
        <v>357</v>
      </c>
      <c r="D210" s="0" t="s">
        <v>319</v>
      </c>
      <c r="E210" s="0" t="s">
        <v>358</v>
      </c>
      <c r="F210" s="0" t="s">
        <v>141</v>
      </c>
      <c r="G210" s="0" t="s">
        <v>163</v>
      </c>
      <c r="H210" s="6" t="n">
        <f aca="false">'Export-dataset'!V12</f>
        <v>6498</v>
      </c>
    </row>
    <row r="211" customFormat="false" ht="15" hidden="false" customHeight="false" outlineLevel="0" collapsed="false">
      <c r="A211" s="0" t="s">
        <v>61</v>
      </c>
      <c r="B211" s="0" t="n">
        <v>2025</v>
      </c>
      <c r="C211" s="0" t="s">
        <v>357</v>
      </c>
      <c r="D211" s="0" t="s">
        <v>319</v>
      </c>
      <c r="E211" s="0" t="s">
        <v>358</v>
      </c>
      <c r="F211" s="0" t="s">
        <v>141</v>
      </c>
      <c r="G211" s="0" t="s">
        <v>163</v>
      </c>
      <c r="H211" s="6" t="n">
        <f aca="false">'Export-dataset'!V13</f>
        <v>6053</v>
      </c>
    </row>
    <row r="212" customFormat="false" ht="15" hidden="false" customHeight="false" outlineLevel="0" collapsed="false">
      <c r="A212" s="0" t="s">
        <v>61</v>
      </c>
      <c r="B212" s="0" t="n">
        <v>2016</v>
      </c>
      <c r="C212" s="0" t="s">
        <v>359</v>
      </c>
      <c r="D212" s="0" t="s">
        <v>319</v>
      </c>
      <c r="E212" s="0" t="s">
        <v>360</v>
      </c>
      <c r="F212" s="0" t="s">
        <v>141</v>
      </c>
      <c r="G212" s="0" t="s">
        <v>164</v>
      </c>
      <c r="H212" s="6" t="n">
        <f aca="false">'Export-dataset'!W4</f>
        <v>665</v>
      </c>
    </row>
    <row r="213" customFormat="false" ht="15" hidden="false" customHeight="false" outlineLevel="0" collapsed="false">
      <c r="A213" s="0" t="s">
        <v>61</v>
      </c>
      <c r="B213" s="0" t="n">
        <v>2017</v>
      </c>
      <c r="C213" s="0" t="s">
        <v>359</v>
      </c>
      <c r="D213" s="0" t="s">
        <v>319</v>
      </c>
      <c r="E213" s="0" t="s">
        <v>360</v>
      </c>
      <c r="F213" s="0" t="s">
        <v>141</v>
      </c>
      <c r="G213" s="0" t="s">
        <v>164</v>
      </c>
      <c r="H213" s="6" t="n">
        <f aca="false">'Export-dataset'!W5</f>
        <v>1575</v>
      </c>
    </row>
    <row r="214" customFormat="false" ht="15" hidden="false" customHeight="false" outlineLevel="0" collapsed="false">
      <c r="A214" s="0" t="s">
        <v>61</v>
      </c>
      <c r="B214" s="0" t="n">
        <v>2018</v>
      </c>
      <c r="C214" s="0" t="s">
        <v>359</v>
      </c>
      <c r="D214" s="0" t="s">
        <v>319</v>
      </c>
      <c r="E214" s="0" t="s">
        <v>360</v>
      </c>
      <c r="F214" s="0" t="s">
        <v>141</v>
      </c>
      <c r="G214" s="0" t="s">
        <v>164</v>
      </c>
      <c r="H214" s="6" t="n">
        <f aca="false">'Export-dataset'!W6</f>
        <v>2110</v>
      </c>
    </row>
    <row r="215" customFormat="false" ht="15" hidden="false" customHeight="false" outlineLevel="0" collapsed="false">
      <c r="A215" s="0" t="s">
        <v>61</v>
      </c>
      <c r="B215" s="0" t="n">
        <v>2019</v>
      </c>
      <c r="C215" s="0" t="s">
        <v>359</v>
      </c>
      <c r="D215" s="0" t="s">
        <v>319</v>
      </c>
      <c r="E215" s="0" t="s">
        <v>360</v>
      </c>
      <c r="F215" s="0" t="s">
        <v>141</v>
      </c>
      <c r="G215" s="0" t="s">
        <v>164</v>
      </c>
      <c r="H215" s="6" t="n">
        <f aca="false">'Export-dataset'!W7</f>
        <v>1717</v>
      </c>
    </row>
    <row r="216" customFormat="false" ht="15" hidden="false" customHeight="false" outlineLevel="0" collapsed="false">
      <c r="A216" s="0" t="s">
        <v>61</v>
      </c>
      <c r="B216" s="0" t="n">
        <v>2020</v>
      </c>
      <c r="C216" s="0" t="s">
        <v>359</v>
      </c>
      <c r="D216" s="0" t="s">
        <v>319</v>
      </c>
      <c r="E216" s="0" t="s">
        <v>360</v>
      </c>
      <c r="F216" s="0" t="s">
        <v>141</v>
      </c>
      <c r="G216" s="0" t="s">
        <v>164</v>
      </c>
      <c r="H216" s="6" t="n">
        <f aca="false">'Export-dataset'!W8</f>
        <v>1163</v>
      </c>
    </row>
    <row r="217" customFormat="false" ht="15" hidden="false" customHeight="false" outlineLevel="0" collapsed="false">
      <c r="A217" s="0" t="s">
        <v>61</v>
      </c>
      <c r="B217" s="0" t="n">
        <v>2021</v>
      </c>
      <c r="C217" s="0" t="s">
        <v>359</v>
      </c>
      <c r="D217" s="0" t="s">
        <v>319</v>
      </c>
      <c r="E217" s="0" t="s">
        <v>360</v>
      </c>
      <c r="F217" s="0" t="s">
        <v>141</v>
      </c>
      <c r="G217" s="0" t="s">
        <v>164</v>
      </c>
      <c r="H217" s="6" t="n">
        <f aca="false">'Export-dataset'!W9</f>
        <v>1948</v>
      </c>
    </row>
    <row r="218" customFormat="false" ht="15" hidden="false" customHeight="false" outlineLevel="0" collapsed="false">
      <c r="A218" s="0" t="s">
        <v>61</v>
      </c>
      <c r="B218" s="0" t="n">
        <v>2022</v>
      </c>
      <c r="C218" s="0" t="s">
        <v>359</v>
      </c>
      <c r="D218" s="0" t="s">
        <v>319</v>
      </c>
      <c r="E218" s="0" t="s">
        <v>360</v>
      </c>
      <c r="F218" s="0" t="s">
        <v>141</v>
      </c>
      <c r="G218" s="0" t="s">
        <v>164</v>
      </c>
      <c r="H218" s="6" t="n">
        <f aca="false">'Export-dataset'!W10</f>
        <v>12384</v>
      </c>
    </row>
    <row r="219" customFormat="false" ht="15" hidden="false" customHeight="false" outlineLevel="0" collapsed="false">
      <c r="A219" s="0" t="s">
        <v>61</v>
      </c>
      <c r="B219" s="0" t="n">
        <v>2023</v>
      </c>
      <c r="C219" s="0" t="s">
        <v>359</v>
      </c>
      <c r="D219" s="0" t="s">
        <v>319</v>
      </c>
      <c r="E219" s="0" t="s">
        <v>360</v>
      </c>
      <c r="F219" s="0" t="s">
        <v>141</v>
      </c>
      <c r="G219" s="0" t="s">
        <v>164</v>
      </c>
      <c r="H219" s="6" t="n">
        <f aca="false">'Export-dataset'!W11</f>
        <v>19055</v>
      </c>
    </row>
    <row r="220" customFormat="false" ht="15" hidden="false" customHeight="false" outlineLevel="0" collapsed="false">
      <c r="A220" s="0" t="s">
        <v>61</v>
      </c>
      <c r="B220" s="0" t="n">
        <v>2024</v>
      </c>
      <c r="C220" s="0" t="s">
        <v>359</v>
      </c>
      <c r="D220" s="0" t="s">
        <v>319</v>
      </c>
      <c r="E220" s="0" t="s">
        <v>360</v>
      </c>
      <c r="F220" s="0" t="s">
        <v>141</v>
      </c>
      <c r="G220" s="0" t="s">
        <v>164</v>
      </c>
      <c r="H220" s="6" t="n">
        <f aca="false">'Export-dataset'!W12</f>
        <v>5137</v>
      </c>
    </row>
    <row r="221" customFormat="false" ht="15" hidden="false" customHeight="false" outlineLevel="0" collapsed="false">
      <c r="A221" s="0" t="s">
        <v>61</v>
      </c>
      <c r="B221" s="0" t="n">
        <v>2025</v>
      </c>
      <c r="C221" s="0" t="s">
        <v>359</v>
      </c>
      <c r="D221" s="0" t="s">
        <v>319</v>
      </c>
      <c r="E221" s="0" t="s">
        <v>360</v>
      </c>
      <c r="F221" s="0" t="s">
        <v>141</v>
      </c>
      <c r="G221" s="0" t="s">
        <v>164</v>
      </c>
      <c r="H221" s="6" t="n">
        <f aca="false">'Export-dataset'!W13</f>
        <v>4863</v>
      </c>
    </row>
    <row r="222" customFormat="false" ht="15" hidden="false" customHeight="false" outlineLevel="0" collapsed="false">
      <c r="A222" s="0" t="s">
        <v>61</v>
      </c>
      <c r="B222" s="0" t="n">
        <v>2016</v>
      </c>
      <c r="C222" s="0" t="s">
        <v>361</v>
      </c>
      <c r="D222" s="0" t="s">
        <v>319</v>
      </c>
      <c r="E222" s="0" t="s">
        <v>362</v>
      </c>
      <c r="F222" s="0" t="s">
        <v>141</v>
      </c>
      <c r="G222" s="0" t="s">
        <v>165</v>
      </c>
      <c r="H222" s="6" t="n">
        <f aca="false">'Export-dataset'!X4</f>
        <v>73494</v>
      </c>
    </row>
    <row r="223" customFormat="false" ht="15" hidden="false" customHeight="false" outlineLevel="0" collapsed="false">
      <c r="A223" s="0" t="s">
        <v>61</v>
      </c>
      <c r="B223" s="0" t="n">
        <v>2017</v>
      </c>
      <c r="C223" s="0" t="s">
        <v>361</v>
      </c>
      <c r="D223" s="0" t="s">
        <v>319</v>
      </c>
      <c r="E223" s="0" t="s">
        <v>362</v>
      </c>
      <c r="F223" s="0" t="s">
        <v>141</v>
      </c>
      <c r="G223" s="0" t="s">
        <v>165</v>
      </c>
      <c r="H223" s="6" t="n">
        <f aca="false">'Export-dataset'!X5</f>
        <v>86583</v>
      </c>
    </row>
    <row r="224" customFormat="false" ht="15" hidden="false" customHeight="false" outlineLevel="0" collapsed="false">
      <c r="A224" s="0" t="s">
        <v>61</v>
      </c>
      <c r="B224" s="0" t="n">
        <v>2018</v>
      </c>
      <c r="C224" s="0" t="s">
        <v>361</v>
      </c>
      <c r="D224" s="0" t="s">
        <v>319</v>
      </c>
      <c r="E224" s="0" t="s">
        <v>362</v>
      </c>
      <c r="F224" s="0" t="s">
        <v>141</v>
      </c>
      <c r="G224" s="0" t="s">
        <v>165</v>
      </c>
      <c r="H224" s="6" t="n">
        <f aca="false">'Export-dataset'!X6</f>
        <v>93112</v>
      </c>
    </row>
    <row r="225" customFormat="false" ht="15" hidden="false" customHeight="false" outlineLevel="0" collapsed="false">
      <c r="A225" s="0" t="s">
        <v>61</v>
      </c>
      <c r="B225" s="0" t="n">
        <v>2019</v>
      </c>
      <c r="C225" s="0" t="s">
        <v>361</v>
      </c>
      <c r="D225" s="0" t="s">
        <v>319</v>
      </c>
      <c r="E225" s="0" t="s">
        <v>362</v>
      </c>
      <c r="F225" s="0" t="s">
        <v>141</v>
      </c>
      <c r="G225" s="0" t="s">
        <v>165</v>
      </c>
      <c r="H225" s="6" t="n">
        <f aca="false">'Export-dataset'!X7</f>
        <v>125211</v>
      </c>
    </row>
    <row r="226" customFormat="false" ht="15" hidden="false" customHeight="false" outlineLevel="0" collapsed="false">
      <c r="A226" s="0" t="s">
        <v>61</v>
      </c>
      <c r="B226" s="0" t="n">
        <v>2020</v>
      </c>
      <c r="C226" s="0" t="s">
        <v>361</v>
      </c>
      <c r="D226" s="0" t="s">
        <v>319</v>
      </c>
      <c r="E226" s="0" t="s">
        <v>362</v>
      </c>
      <c r="F226" s="0" t="s">
        <v>141</v>
      </c>
      <c r="G226" s="0" t="s">
        <v>165</v>
      </c>
      <c r="H226" s="6" t="n">
        <f aca="false">'Export-dataset'!X8</f>
        <v>144068</v>
      </c>
    </row>
    <row r="227" customFormat="false" ht="15" hidden="false" customHeight="false" outlineLevel="0" collapsed="false">
      <c r="A227" s="0" t="s">
        <v>61</v>
      </c>
      <c r="B227" s="0" t="n">
        <v>2021</v>
      </c>
      <c r="C227" s="0" t="s">
        <v>361</v>
      </c>
      <c r="D227" s="0" t="s">
        <v>319</v>
      </c>
      <c r="E227" s="0" t="s">
        <v>362</v>
      </c>
      <c r="F227" s="0" t="s">
        <v>141</v>
      </c>
      <c r="G227" s="0" t="s">
        <v>165</v>
      </c>
      <c r="H227" s="6" t="n">
        <f aca="false">'Export-dataset'!X9</f>
        <v>185259</v>
      </c>
    </row>
    <row r="228" customFormat="false" ht="15" hidden="false" customHeight="false" outlineLevel="0" collapsed="false">
      <c r="A228" s="0" t="s">
        <v>61</v>
      </c>
      <c r="B228" s="0" t="n">
        <v>2022</v>
      </c>
      <c r="C228" s="0" t="s">
        <v>361</v>
      </c>
      <c r="D228" s="0" t="s">
        <v>319</v>
      </c>
      <c r="E228" s="0" t="s">
        <v>362</v>
      </c>
      <c r="F228" s="0" t="s">
        <v>141</v>
      </c>
      <c r="G228" s="0" t="s">
        <v>165</v>
      </c>
      <c r="H228" s="6" t="n">
        <f aca="false">'Export-dataset'!X10</f>
        <v>157451</v>
      </c>
    </row>
    <row r="229" customFormat="false" ht="15" hidden="false" customHeight="false" outlineLevel="0" collapsed="false">
      <c r="A229" s="0" t="s">
        <v>61</v>
      </c>
      <c r="B229" s="0" t="n">
        <v>2023</v>
      </c>
      <c r="C229" s="0" t="s">
        <v>361</v>
      </c>
      <c r="D229" s="0" t="s">
        <v>319</v>
      </c>
      <c r="E229" s="0" t="s">
        <v>362</v>
      </c>
      <c r="F229" s="0" t="s">
        <v>141</v>
      </c>
      <c r="G229" s="0" t="s">
        <v>165</v>
      </c>
      <c r="H229" s="6" t="n">
        <f aca="false">'Export-dataset'!X11</f>
        <v>168243</v>
      </c>
    </row>
    <row r="230" customFormat="false" ht="15" hidden="false" customHeight="false" outlineLevel="0" collapsed="false">
      <c r="A230" s="0" t="s">
        <v>61</v>
      </c>
      <c r="B230" s="0" t="n">
        <v>2024</v>
      </c>
      <c r="C230" s="0" t="s">
        <v>361</v>
      </c>
      <c r="D230" s="0" t="s">
        <v>319</v>
      </c>
      <c r="E230" s="0" t="s">
        <v>362</v>
      </c>
      <c r="F230" s="0" t="s">
        <v>141</v>
      </c>
      <c r="G230" s="0" t="s">
        <v>165</v>
      </c>
      <c r="H230" s="6" t="n">
        <f aca="false">'Export-dataset'!X12</f>
        <v>160100</v>
      </c>
    </row>
    <row r="231" customFormat="false" ht="15" hidden="false" customHeight="false" outlineLevel="0" collapsed="false">
      <c r="A231" s="0" t="s">
        <v>61</v>
      </c>
      <c r="B231" s="0" t="n">
        <v>2025</v>
      </c>
      <c r="C231" s="0" t="s">
        <v>361</v>
      </c>
      <c r="D231" s="0" t="s">
        <v>319</v>
      </c>
      <c r="E231" s="0" t="s">
        <v>362</v>
      </c>
      <c r="F231" s="0" t="s">
        <v>141</v>
      </c>
      <c r="G231" s="0" t="s">
        <v>165</v>
      </c>
      <c r="H231" s="6" t="n">
        <f aca="false">'Export-dataset'!X13</f>
        <v>162034</v>
      </c>
    </row>
    <row r="232" customFormat="false" ht="15" hidden="false" customHeight="false" outlineLevel="0" collapsed="false">
      <c r="A232" s="0" t="s">
        <v>61</v>
      </c>
      <c r="B232" s="0" t="n">
        <v>2016</v>
      </c>
      <c r="C232" s="0" t="s">
        <v>363</v>
      </c>
      <c r="D232" s="0" t="s">
        <v>319</v>
      </c>
      <c r="E232" s="0" t="s">
        <v>364</v>
      </c>
      <c r="F232" s="0" t="s">
        <v>141</v>
      </c>
      <c r="G232" s="0" t="s">
        <v>166</v>
      </c>
      <c r="H232" s="6" t="n">
        <f aca="false">'Export-dataset'!Y4</f>
        <v>476</v>
      </c>
    </row>
    <row r="233" customFormat="false" ht="15" hidden="false" customHeight="false" outlineLevel="0" collapsed="false">
      <c r="A233" s="0" t="s">
        <v>61</v>
      </c>
      <c r="B233" s="0" t="n">
        <v>2017</v>
      </c>
      <c r="C233" s="0" t="s">
        <v>363</v>
      </c>
      <c r="D233" s="0" t="s">
        <v>319</v>
      </c>
      <c r="E233" s="0" t="s">
        <v>364</v>
      </c>
      <c r="F233" s="0" t="s">
        <v>141</v>
      </c>
      <c r="G233" s="0" t="s">
        <v>166</v>
      </c>
      <c r="H233" s="6" t="n">
        <f aca="false">'Export-dataset'!Y5</f>
        <v>496</v>
      </c>
    </row>
    <row r="234" customFormat="false" ht="15" hidden="false" customHeight="false" outlineLevel="0" collapsed="false">
      <c r="A234" s="0" t="s">
        <v>61</v>
      </c>
      <c r="B234" s="0" t="n">
        <v>2018</v>
      </c>
      <c r="C234" s="0" t="s">
        <v>363</v>
      </c>
      <c r="D234" s="0" t="s">
        <v>319</v>
      </c>
      <c r="E234" s="0" t="s">
        <v>364</v>
      </c>
      <c r="F234" s="0" t="s">
        <v>141</v>
      </c>
      <c r="G234" s="0" t="s">
        <v>166</v>
      </c>
      <c r="H234" s="6" t="n">
        <f aca="false">'Export-dataset'!Y6</f>
        <v>584</v>
      </c>
    </row>
    <row r="235" customFormat="false" ht="15" hidden="false" customHeight="false" outlineLevel="0" collapsed="false">
      <c r="A235" s="0" t="s">
        <v>61</v>
      </c>
      <c r="B235" s="0" t="n">
        <v>2019</v>
      </c>
      <c r="C235" s="0" t="s">
        <v>363</v>
      </c>
      <c r="D235" s="0" t="s">
        <v>319</v>
      </c>
      <c r="E235" s="0" t="s">
        <v>364</v>
      </c>
      <c r="F235" s="0" t="s">
        <v>141</v>
      </c>
      <c r="G235" s="0" t="s">
        <v>166</v>
      </c>
      <c r="H235" s="6" t="n">
        <f aca="false">'Export-dataset'!Y7</f>
        <v>584</v>
      </c>
    </row>
    <row r="236" customFormat="false" ht="15" hidden="false" customHeight="false" outlineLevel="0" collapsed="false">
      <c r="A236" s="0" t="s">
        <v>61</v>
      </c>
      <c r="B236" s="0" t="n">
        <v>2020</v>
      </c>
      <c r="C236" s="0" t="s">
        <v>363</v>
      </c>
      <c r="D236" s="0" t="s">
        <v>319</v>
      </c>
      <c r="E236" s="0" t="s">
        <v>364</v>
      </c>
      <c r="F236" s="0" t="s">
        <v>141</v>
      </c>
      <c r="G236" s="0" t="s">
        <v>166</v>
      </c>
      <c r="H236" s="6" t="n">
        <f aca="false">'Export-dataset'!Y8</f>
        <v>551</v>
      </c>
    </row>
    <row r="237" customFormat="false" ht="15" hidden="false" customHeight="false" outlineLevel="0" collapsed="false">
      <c r="A237" s="0" t="s">
        <v>61</v>
      </c>
      <c r="B237" s="0" t="n">
        <v>2021</v>
      </c>
      <c r="C237" s="0" t="s">
        <v>363</v>
      </c>
      <c r="D237" s="0" t="s">
        <v>319</v>
      </c>
      <c r="E237" s="0" t="s">
        <v>364</v>
      </c>
      <c r="F237" s="0" t="s">
        <v>141</v>
      </c>
      <c r="G237" s="0" t="s">
        <v>166</v>
      </c>
      <c r="H237" s="6" t="n">
        <f aca="false">'Export-dataset'!Y9</f>
        <v>613</v>
      </c>
    </row>
    <row r="238" customFormat="false" ht="15" hidden="false" customHeight="false" outlineLevel="0" collapsed="false">
      <c r="A238" s="0" t="s">
        <v>61</v>
      </c>
      <c r="B238" s="0" t="n">
        <v>2022</v>
      </c>
      <c r="C238" s="0" t="s">
        <v>363</v>
      </c>
      <c r="D238" s="0" t="s">
        <v>319</v>
      </c>
      <c r="E238" s="0" t="s">
        <v>364</v>
      </c>
      <c r="F238" s="0" t="s">
        <v>141</v>
      </c>
      <c r="G238" s="0" t="s">
        <v>166</v>
      </c>
      <c r="H238" s="6" t="n">
        <f aca="false">'Export-dataset'!Y10</f>
        <v>692</v>
      </c>
    </row>
    <row r="239" customFormat="false" ht="15" hidden="false" customHeight="false" outlineLevel="0" collapsed="false">
      <c r="A239" s="0" t="s">
        <v>61</v>
      </c>
      <c r="B239" s="0" t="n">
        <v>2023</v>
      </c>
      <c r="C239" s="0" t="s">
        <v>363</v>
      </c>
      <c r="D239" s="0" t="s">
        <v>319</v>
      </c>
      <c r="E239" s="0" t="s">
        <v>364</v>
      </c>
      <c r="F239" s="0" t="s">
        <v>141</v>
      </c>
      <c r="G239" s="0" t="s">
        <v>166</v>
      </c>
      <c r="H239" s="6" t="n">
        <f aca="false">'Export-dataset'!Y11</f>
        <v>650</v>
      </c>
    </row>
    <row r="240" customFormat="false" ht="15" hidden="false" customHeight="false" outlineLevel="0" collapsed="false">
      <c r="A240" s="0" t="s">
        <v>61</v>
      </c>
      <c r="B240" s="0" t="n">
        <v>2024</v>
      </c>
      <c r="C240" s="0" t="s">
        <v>363</v>
      </c>
      <c r="D240" s="0" t="s">
        <v>319</v>
      </c>
      <c r="E240" s="0" t="s">
        <v>364</v>
      </c>
      <c r="F240" s="0" t="s">
        <v>141</v>
      </c>
      <c r="G240" s="0" t="s">
        <v>166</v>
      </c>
      <c r="H240" s="6" t="n">
        <f aca="false">'Export-dataset'!Y12</f>
        <v>635</v>
      </c>
    </row>
    <row r="241" customFormat="false" ht="15" hidden="false" customHeight="false" outlineLevel="0" collapsed="false">
      <c r="A241" s="0" t="s">
        <v>61</v>
      </c>
      <c r="B241" s="0" t="n">
        <v>2025</v>
      </c>
      <c r="C241" s="0" t="s">
        <v>363</v>
      </c>
      <c r="D241" s="0" t="s">
        <v>319</v>
      </c>
      <c r="E241" s="0" t="s">
        <v>364</v>
      </c>
      <c r="F241" s="0" t="s">
        <v>141</v>
      </c>
      <c r="G241" s="0" t="s">
        <v>166</v>
      </c>
      <c r="H241" s="6" t="n">
        <f aca="false">'Export-dataset'!Y13</f>
        <v>711</v>
      </c>
    </row>
    <row r="242" customFormat="false" ht="15" hidden="false" customHeight="false" outlineLevel="0" collapsed="false">
      <c r="A242" s="0" t="s">
        <v>61</v>
      </c>
      <c r="B242" s="0" t="n">
        <v>2016</v>
      </c>
      <c r="C242" s="0" t="s">
        <v>365</v>
      </c>
      <c r="D242" s="0" t="s">
        <v>316</v>
      </c>
      <c r="E242" s="0" t="s">
        <v>366</v>
      </c>
      <c r="F242" s="0" t="s">
        <v>141</v>
      </c>
      <c r="G242" s="0" t="s">
        <v>167</v>
      </c>
      <c r="H242" s="6" t="n">
        <f aca="false">'Export-dataset'!Z4</f>
        <v>67702</v>
      </c>
    </row>
    <row r="243" customFormat="false" ht="15" hidden="false" customHeight="false" outlineLevel="0" collapsed="false">
      <c r="A243" s="0" t="s">
        <v>61</v>
      </c>
      <c r="B243" s="0" t="n">
        <v>2017</v>
      </c>
      <c r="C243" s="0" t="s">
        <v>365</v>
      </c>
      <c r="D243" s="0" t="s">
        <v>316</v>
      </c>
      <c r="E243" s="0" t="s">
        <v>366</v>
      </c>
      <c r="F243" s="0" t="s">
        <v>141</v>
      </c>
      <c r="G243" s="0" t="s">
        <v>167</v>
      </c>
      <c r="H243" s="6" t="n">
        <f aca="false">'Export-dataset'!Z5</f>
        <v>91149</v>
      </c>
    </row>
    <row r="244" customFormat="false" ht="15" hidden="false" customHeight="false" outlineLevel="0" collapsed="false">
      <c r="A244" s="0" t="s">
        <v>61</v>
      </c>
      <c r="B244" s="0" t="n">
        <v>2018</v>
      </c>
      <c r="C244" s="0" t="s">
        <v>365</v>
      </c>
      <c r="D244" s="0" t="s">
        <v>316</v>
      </c>
      <c r="E244" s="0" t="s">
        <v>366</v>
      </c>
      <c r="F244" s="0" t="s">
        <v>141</v>
      </c>
      <c r="G244" s="0" t="s">
        <v>167</v>
      </c>
      <c r="H244" s="6" t="n">
        <f aca="false">'Export-dataset'!Z6</f>
        <v>122269</v>
      </c>
    </row>
    <row r="245" customFormat="false" ht="15" hidden="false" customHeight="false" outlineLevel="0" collapsed="false">
      <c r="A245" s="0" t="s">
        <v>61</v>
      </c>
      <c r="B245" s="0" t="n">
        <v>2019</v>
      </c>
      <c r="C245" s="0" t="s">
        <v>365</v>
      </c>
      <c r="D245" s="0" t="s">
        <v>316</v>
      </c>
      <c r="E245" s="0" t="s">
        <v>366</v>
      </c>
      <c r="F245" s="0" t="s">
        <v>141</v>
      </c>
      <c r="G245" s="0" t="s">
        <v>167</v>
      </c>
      <c r="H245" s="6" t="n">
        <f aca="false">'Export-dataset'!Z7</f>
        <v>126288</v>
      </c>
    </row>
    <row r="246" customFormat="false" ht="15" hidden="false" customHeight="false" outlineLevel="0" collapsed="false">
      <c r="A246" s="0" t="s">
        <v>61</v>
      </c>
      <c r="B246" s="0" t="n">
        <v>2020</v>
      </c>
      <c r="C246" s="0" t="s">
        <v>365</v>
      </c>
      <c r="D246" s="0" t="s">
        <v>316</v>
      </c>
      <c r="E246" s="0" t="s">
        <v>366</v>
      </c>
      <c r="F246" s="0" t="s">
        <v>141</v>
      </c>
      <c r="G246" s="0" t="s">
        <v>167</v>
      </c>
      <c r="H246" s="6" t="n">
        <f aca="false">'Export-dataset'!Z8</f>
        <v>88821</v>
      </c>
    </row>
    <row r="247" customFormat="false" ht="15" hidden="false" customHeight="false" outlineLevel="0" collapsed="false">
      <c r="A247" s="0" t="s">
        <v>61</v>
      </c>
      <c r="B247" s="0" t="n">
        <v>2021</v>
      </c>
      <c r="C247" s="0" t="s">
        <v>365</v>
      </c>
      <c r="D247" s="0" t="s">
        <v>316</v>
      </c>
      <c r="E247" s="0" t="s">
        <v>366</v>
      </c>
      <c r="F247" s="0" t="s">
        <v>141</v>
      </c>
      <c r="G247" s="0" t="s">
        <v>167</v>
      </c>
      <c r="H247" s="6" t="n">
        <f aca="false">'Export-dataset'!Z9</f>
        <v>126395</v>
      </c>
    </row>
    <row r="248" customFormat="false" ht="15" hidden="false" customHeight="false" outlineLevel="0" collapsed="false">
      <c r="A248" s="0" t="s">
        <v>61</v>
      </c>
      <c r="B248" s="0" t="n">
        <v>2022</v>
      </c>
      <c r="C248" s="0" t="s">
        <v>365</v>
      </c>
      <c r="D248" s="0" t="s">
        <v>316</v>
      </c>
      <c r="E248" s="0" t="s">
        <v>366</v>
      </c>
      <c r="F248" s="0" t="s">
        <v>141</v>
      </c>
      <c r="G248" s="0" t="s">
        <v>167</v>
      </c>
      <c r="H248" s="6" t="n">
        <f aca="false">'Export-dataset'!Z10</f>
        <v>251334</v>
      </c>
    </row>
    <row r="249" customFormat="false" ht="15" hidden="false" customHeight="false" outlineLevel="0" collapsed="false">
      <c r="A249" s="0" t="s">
        <v>61</v>
      </c>
      <c r="B249" s="0" t="n">
        <v>2023</v>
      </c>
      <c r="C249" s="0" t="s">
        <v>365</v>
      </c>
      <c r="D249" s="0" t="s">
        <v>316</v>
      </c>
      <c r="E249" s="0" t="s">
        <v>366</v>
      </c>
      <c r="F249" s="0" t="s">
        <v>141</v>
      </c>
      <c r="G249" s="0" t="s">
        <v>167</v>
      </c>
      <c r="H249" s="6" t="n">
        <f aca="false">'Export-dataset'!Z11</f>
        <v>195549</v>
      </c>
    </row>
    <row r="250" customFormat="false" ht="15" hidden="false" customHeight="false" outlineLevel="0" collapsed="false">
      <c r="A250" s="0" t="s">
        <v>61</v>
      </c>
      <c r="B250" s="0" t="n">
        <v>2024</v>
      </c>
      <c r="C250" s="0" t="s">
        <v>365</v>
      </c>
      <c r="D250" s="0" t="s">
        <v>316</v>
      </c>
      <c r="E250" s="0" t="s">
        <v>366</v>
      </c>
      <c r="F250" s="0" t="s">
        <v>141</v>
      </c>
      <c r="G250" s="0" t="s">
        <v>167</v>
      </c>
      <c r="H250" s="6" t="n">
        <f aca="false">'Export-dataset'!Z12</f>
        <v>170842</v>
      </c>
    </row>
    <row r="251" customFormat="false" ht="15" hidden="false" customHeight="false" outlineLevel="0" collapsed="false">
      <c r="A251" s="0" t="s">
        <v>61</v>
      </c>
      <c r="B251" s="0" t="n">
        <v>2025</v>
      </c>
      <c r="C251" s="0" t="s">
        <v>365</v>
      </c>
      <c r="D251" s="0" t="s">
        <v>316</v>
      </c>
      <c r="E251" s="0" t="s">
        <v>366</v>
      </c>
      <c r="F251" s="0" t="s">
        <v>141</v>
      </c>
      <c r="G251" s="0" t="s">
        <v>167</v>
      </c>
      <c r="H251" s="6" t="n">
        <f aca="false">'Export-dataset'!Z13</f>
        <v>140181</v>
      </c>
    </row>
    <row r="252" customFormat="false" ht="15" hidden="false" customHeight="false" outlineLevel="0" collapsed="false">
      <c r="A252" s="0" t="s">
        <v>61</v>
      </c>
      <c r="B252" s="0" t="n">
        <v>2016</v>
      </c>
      <c r="C252" s="0" t="s">
        <v>367</v>
      </c>
      <c r="D252" s="0" t="s">
        <v>319</v>
      </c>
      <c r="E252" s="0" t="s">
        <v>368</v>
      </c>
      <c r="F252" s="0" t="s">
        <v>141</v>
      </c>
      <c r="G252" s="0" t="s">
        <v>168</v>
      </c>
      <c r="H252" s="6" t="n">
        <f aca="false">'Export-dataset'!AA4</f>
        <v>42273</v>
      </c>
    </row>
    <row r="253" customFormat="false" ht="15" hidden="false" customHeight="false" outlineLevel="0" collapsed="false">
      <c r="A253" s="0" t="s">
        <v>61</v>
      </c>
      <c r="B253" s="0" t="n">
        <v>2017</v>
      </c>
      <c r="C253" s="0" t="s">
        <v>367</v>
      </c>
      <c r="D253" s="0" t="s">
        <v>319</v>
      </c>
      <c r="E253" s="0" t="s">
        <v>368</v>
      </c>
      <c r="F253" s="0" t="s">
        <v>141</v>
      </c>
      <c r="G253" s="0" t="s">
        <v>168</v>
      </c>
      <c r="H253" s="6" t="n">
        <f aca="false">'Export-dataset'!AA5</f>
        <v>57133</v>
      </c>
    </row>
    <row r="254" customFormat="false" ht="15" hidden="false" customHeight="false" outlineLevel="0" collapsed="false">
      <c r="A254" s="0" t="s">
        <v>61</v>
      </c>
      <c r="B254" s="0" t="n">
        <v>2018</v>
      </c>
      <c r="C254" s="0" t="s">
        <v>367</v>
      </c>
      <c r="D254" s="0" t="s">
        <v>319</v>
      </c>
      <c r="E254" s="0" t="s">
        <v>368</v>
      </c>
      <c r="F254" s="0" t="s">
        <v>141</v>
      </c>
      <c r="G254" s="0" t="s">
        <v>168</v>
      </c>
      <c r="H254" s="6" t="n">
        <f aca="false">'Export-dataset'!AA6</f>
        <v>66848</v>
      </c>
    </row>
    <row r="255" customFormat="false" ht="15" hidden="false" customHeight="false" outlineLevel="0" collapsed="false">
      <c r="A255" s="0" t="s">
        <v>61</v>
      </c>
      <c r="B255" s="0" t="n">
        <v>2019</v>
      </c>
      <c r="C255" s="0" t="s">
        <v>367</v>
      </c>
      <c r="D255" s="0" t="s">
        <v>319</v>
      </c>
      <c r="E255" s="0" t="s">
        <v>368</v>
      </c>
      <c r="F255" s="0" t="s">
        <v>141</v>
      </c>
      <c r="G255" s="0" t="s">
        <v>168</v>
      </c>
      <c r="H255" s="6" t="n">
        <f aca="false">'Export-dataset'!AA7</f>
        <v>63941</v>
      </c>
    </row>
    <row r="256" customFormat="false" ht="15" hidden="false" customHeight="false" outlineLevel="0" collapsed="false">
      <c r="A256" s="0" t="s">
        <v>61</v>
      </c>
      <c r="B256" s="0" t="n">
        <v>2020</v>
      </c>
      <c r="C256" s="0" t="s">
        <v>367</v>
      </c>
      <c r="D256" s="0" t="s">
        <v>319</v>
      </c>
      <c r="E256" s="0" t="s">
        <v>368</v>
      </c>
      <c r="F256" s="0" t="s">
        <v>141</v>
      </c>
      <c r="G256" s="0" t="s">
        <v>168</v>
      </c>
      <c r="H256" s="6" t="n">
        <f aca="false">'Export-dataset'!AA8</f>
        <v>43367</v>
      </c>
    </row>
    <row r="257" customFormat="false" ht="15" hidden="false" customHeight="false" outlineLevel="0" collapsed="false">
      <c r="A257" s="0" t="s">
        <v>61</v>
      </c>
      <c r="B257" s="0" t="n">
        <v>2021</v>
      </c>
      <c r="C257" s="0" t="s">
        <v>367</v>
      </c>
      <c r="D257" s="0" t="s">
        <v>319</v>
      </c>
      <c r="E257" s="0" t="s">
        <v>368</v>
      </c>
      <c r="F257" s="0" t="s">
        <v>141</v>
      </c>
      <c r="G257" s="0" t="s">
        <v>168</v>
      </c>
      <c r="H257" s="6" t="n">
        <f aca="false">'Export-dataset'!AA9</f>
        <v>63504</v>
      </c>
    </row>
    <row r="258" customFormat="false" ht="15" hidden="false" customHeight="false" outlineLevel="0" collapsed="false">
      <c r="A258" s="0" t="s">
        <v>61</v>
      </c>
      <c r="B258" s="0" t="n">
        <v>2022</v>
      </c>
      <c r="C258" s="0" t="s">
        <v>367</v>
      </c>
      <c r="D258" s="0" t="s">
        <v>319</v>
      </c>
      <c r="E258" s="0" t="s">
        <v>368</v>
      </c>
      <c r="F258" s="0" t="s">
        <v>141</v>
      </c>
      <c r="G258" s="0" t="s">
        <v>168</v>
      </c>
      <c r="H258" s="6" t="n">
        <f aca="false">'Export-dataset'!AA10</f>
        <v>142345</v>
      </c>
    </row>
    <row r="259" customFormat="false" ht="15" hidden="false" customHeight="false" outlineLevel="0" collapsed="false">
      <c r="A259" s="0" t="s">
        <v>61</v>
      </c>
      <c r="B259" s="0" t="n">
        <v>2023</v>
      </c>
      <c r="C259" s="0" t="s">
        <v>367</v>
      </c>
      <c r="D259" s="0" t="s">
        <v>319</v>
      </c>
      <c r="E259" s="0" t="s">
        <v>368</v>
      </c>
      <c r="F259" s="0" t="s">
        <v>141</v>
      </c>
      <c r="G259" s="0" t="s">
        <v>168</v>
      </c>
      <c r="H259" s="6" t="n">
        <f aca="false">'Export-dataset'!AA11</f>
        <v>103331</v>
      </c>
    </row>
    <row r="260" customFormat="false" ht="15" hidden="false" customHeight="false" outlineLevel="0" collapsed="false">
      <c r="A260" s="0" t="s">
        <v>61</v>
      </c>
      <c r="B260" s="0" t="n">
        <v>2024</v>
      </c>
      <c r="C260" s="0" t="s">
        <v>367</v>
      </c>
      <c r="D260" s="0" t="s">
        <v>319</v>
      </c>
      <c r="E260" s="0" t="s">
        <v>368</v>
      </c>
      <c r="F260" s="0" t="s">
        <v>141</v>
      </c>
      <c r="G260" s="0" t="s">
        <v>168</v>
      </c>
      <c r="H260" s="6" t="n">
        <f aca="false">'Export-dataset'!AA12</f>
        <v>85445</v>
      </c>
    </row>
    <row r="261" customFormat="false" ht="15" hidden="false" customHeight="false" outlineLevel="0" collapsed="false">
      <c r="A261" s="0" t="s">
        <v>61</v>
      </c>
      <c r="B261" s="0" t="n">
        <v>2025</v>
      </c>
      <c r="C261" s="0" t="s">
        <v>367</v>
      </c>
      <c r="D261" s="0" t="s">
        <v>319</v>
      </c>
      <c r="E261" s="0" t="s">
        <v>368</v>
      </c>
      <c r="F261" s="0" t="s">
        <v>141</v>
      </c>
      <c r="G261" s="0" t="s">
        <v>168</v>
      </c>
      <c r="H261" s="6" t="n">
        <f aca="false">'Export-dataset'!AA13</f>
        <v>64478</v>
      </c>
    </row>
    <row r="262" customFormat="false" ht="15" hidden="false" customHeight="false" outlineLevel="0" collapsed="false">
      <c r="A262" s="0" t="s">
        <v>61</v>
      </c>
      <c r="B262" s="0" t="n">
        <v>2016</v>
      </c>
      <c r="C262" s="0" t="s">
        <v>369</v>
      </c>
      <c r="D262" s="0" t="s">
        <v>319</v>
      </c>
      <c r="E262" s="0" t="s">
        <v>370</v>
      </c>
      <c r="F262" s="0" t="s">
        <v>141</v>
      </c>
      <c r="G262" s="0" t="s">
        <v>169</v>
      </c>
      <c r="H262" s="6" t="n">
        <f aca="false">'Export-dataset'!AB4</f>
        <v>6946</v>
      </c>
    </row>
    <row r="263" customFormat="false" ht="15" hidden="false" customHeight="false" outlineLevel="0" collapsed="false">
      <c r="A263" s="0" t="s">
        <v>61</v>
      </c>
      <c r="B263" s="0" t="n">
        <v>2017</v>
      </c>
      <c r="C263" s="0" t="s">
        <v>369</v>
      </c>
      <c r="D263" s="0" t="s">
        <v>319</v>
      </c>
      <c r="E263" s="0" t="s">
        <v>370</v>
      </c>
      <c r="F263" s="0" t="s">
        <v>141</v>
      </c>
      <c r="G263" s="0" t="s">
        <v>169</v>
      </c>
      <c r="H263" s="6" t="n">
        <f aca="false">'Export-dataset'!AB5</f>
        <v>7662</v>
      </c>
    </row>
    <row r="264" customFormat="false" ht="15" hidden="false" customHeight="false" outlineLevel="0" collapsed="false">
      <c r="A264" s="0" t="s">
        <v>61</v>
      </c>
      <c r="B264" s="0" t="n">
        <v>2018</v>
      </c>
      <c r="C264" s="0" t="s">
        <v>369</v>
      </c>
      <c r="D264" s="0" t="s">
        <v>319</v>
      </c>
      <c r="E264" s="0" t="s">
        <v>370</v>
      </c>
      <c r="F264" s="0" t="s">
        <v>141</v>
      </c>
      <c r="G264" s="0" t="s">
        <v>169</v>
      </c>
      <c r="H264" s="6" t="n">
        <f aca="false">'Export-dataset'!AB6</f>
        <v>11191</v>
      </c>
    </row>
    <row r="265" customFormat="false" ht="15" hidden="false" customHeight="false" outlineLevel="0" collapsed="false">
      <c r="A265" s="0" t="s">
        <v>61</v>
      </c>
      <c r="B265" s="0" t="n">
        <v>2019</v>
      </c>
      <c r="C265" s="0" t="s">
        <v>369</v>
      </c>
      <c r="D265" s="0" t="s">
        <v>319</v>
      </c>
      <c r="E265" s="0" t="s">
        <v>370</v>
      </c>
      <c r="F265" s="0" t="s">
        <v>141</v>
      </c>
      <c r="G265" s="0" t="s">
        <v>169</v>
      </c>
      <c r="H265" s="6" t="n">
        <f aca="false">'Export-dataset'!AB7</f>
        <v>12224</v>
      </c>
    </row>
    <row r="266" customFormat="false" ht="15" hidden="false" customHeight="false" outlineLevel="0" collapsed="false">
      <c r="A266" s="0" t="s">
        <v>61</v>
      </c>
      <c r="B266" s="0" t="n">
        <v>2020</v>
      </c>
      <c r="C266" s="0" t="s">
        <v>369</v>
      </c>
      <c r="D266" s="0" t="s">
        <v>319</v>
      </c>
      <c r="E266" s="0" t="s">
        <v>370</v>
      </c>
      <c r="F266" s="0" t="s">
        <v>141</v>
      </c>
      <c r="G266" s="0" t="s">
        <v>169</v>
      </c>
      <c r="H266" s="6" t="n">
        <f aca="false">'Export-dataset'!AB8</f>
        <v>7755</v>
      </c>
    </row>
    <row r="267" customFormat="false" ht="15" hidden="false" customHeight="false" outlineLevel="0" collapsed="false">
      <c r="A267" s="0" t="s">
        <v>61</v>
      </c>
      <c r="B267" s="0" t="n">
        <v>2021</v>
      </c>
      <c r="C267" s="0" t="s">
        <v>369</v>
      </c>
      <c r="D267" s="0" t="s">
        <v>319</v>
      </c>
      <c r="E267" s="0" t="s">
        <v>370</v>
      </c>
      <c r="F267" s="0" t="s">
        <v>141</v>
      </c>
      <c r="G267" s="0" t="s">
        <v>169</v>
      </c>
      <c r="H267" s="6" t="n">
        <f aca="false">'Export-dataset'!AB9</f>
        <v>11715</v>
      </c>
    </row>
    <row r="268" customFormat="false" ht="15" hidden="false" customHeight="false" outlineLevel="0" collapsed="false">
      <c r="A268" s="0" t="s">
        <v>61</v>
      </c>
      <c r="B268" s="0" t="n">
        <v>2022</v>
      </c>
      <c r="C268" s="0" t="s">
        <v>369</v>
      </c>
      <c r="D268" s="0" t="s">
        <v>319</v>
      </c>
      <c r="E268" s="0" t="s">
        <v>370</v>
      </c>
      <c r="F268" s="0" t="s">
        <v>141</v>
      </c>
      <c r="G268" s="0" t="s">
        <v>169</v>
      </c>
      <c r="H268" s="6" t="n">
        <f aca="false">'Export-dataset'!AB10</f>
        <v>17341</v>
      </c>
    </row>
    <row r="269" customFormat="false" ht="15" hidden="false" customHeight="false" outlineLevel="0" collapsed="false">
      <c r="A269" s="0" t="s">
        <v>61</v>
      </c>
      <c r="B269" s="0" t="n">
        <v>2023</v>
      </c>
      <c r="C269" s="0" t="s">
        <v>369</v>
      </c>
      <c r="D269" s="0" t="s">
        <v>319</v>
      </c>
      <c r="E269" s="0" t="s">
        <v>370</v>
      </c>
      <c r="F269" s="0" t="s">
        <v>141</v>
      </c>
      <c r="G269" s="0" t="s">
        <v>169</v>
      </c>
      <c r="H269" s="6" t="n">
        <f aca="false">'Export-dataset'!AB11</f>
        <v>15760</v>
      </c>
    </row>
    <row r="270" customFormat="false" ht="15" hidden="false" customHeight="false" outlineLevel="0" collapsed="false">
      <c r="A270" s="0" t="s">
        <v>61</v>
      </c>
      <c r="B270" s="0" t="n">
        <v>2024</v>
      </c>
      <c r="C270" s="0" t="s">
        <v>369</v>
      </c>
      <c r="D270" s="0" t="s">
        <v>319</v>
      </c>
      <c r="E270" s="0" t="s">
        <v>370</v>
      </c>
      <c r="F270" s="0" t="s">
        <v>141</v>
      </c>
      <c r="G270" s="0" t="s">
        <v>169</v>
      </c>
      <c r="H270" s="6" t="n">
        <f aca="false">'Export-dataset'!AB12</f>
        <v>15713</v>
      </c>
    </row>
    <row r="271" customFormat="false" ht="15" hidden="false" customHeight="false" outlineLevel="0" collapsed="false">
      <c r="A271" s="0" t="s">
        <v>61</v>
      </c>
      <c r="B271" s="0" t="n">
        <v>2025</v>
      </c>
      <c r="C271" s="0" t="s">
        <v>369</v>
      </c>
      <c r="D271" s="0" t="s">
        <v>319</v>
      </c>
      <c r="E271" s="0" t="s">
        <v>370</v>
      </c>
      <c r="F271" s="0" t="s">
        <v>141</v>
      </c>
      <c r="G271" s="0" t="s">
        <v>169</v>
      </c>
      <c r="H271" s="6" t="n">
        <f aca="false">'Export-dataset'!AB13</f>
        <v>14187</v>
      </c>
    </row>
    <row r="272" customFormat="false" ht="15" hidden="false" customHeight="false" outlineLevel="0" collapsed="false">
      <c r="A272" s="0" t="s">
        <v>61</v>
      </c>
      <c r="B272" s="0" t="n">
        <v>2016</v>
      </c>
      <c r="C272" s="0" t="s">
        <v>371</v>
      </c>
      <c r="D272" s="0" t="s">
        <v>319</v>
      </c>
      <c r="E272" s="0" t="s">
        <v>372</v>
      </c>
      <c r="F272" s="0" t="s">
        <v>141</v>
      </c>
      <c r="G272" s="0" t="s">
        <v>170</v>
      </c>
      <c r="H272" s="6" t="n">
        <f aca="false">'Export-dataset'!AC4</f>
        <v>18480</v>
      </c>
    </row>
    <row r="273" customFormat="false" ht="15" hidden="false" customHeight="false" outlineLevel="0" collapsed="false">
      <c r="A273" s="0" t="s">
        <v>61</v>
      </c>
      <c r="B273" s="0" t="n">
        <v>2017</v>
      </c>
      <c r="C273" s="0" t="s">
        <v>371</v>
      </c>
      <c r="D273" s="0" t="s">
        <v>319</v>
      </c>
      <c r="E273" s="0" t="s">
        <v>372</v>
      </c>
      <c r="F273" s="0" t="s">
        <v>141</v>
      </c>
      <c r="G273" s="0" t="s">
        <v>170</v>
      </c>
      <c r="H273" s="6" t="n">
        <f aca="false">'Export-dataset'!AC5</f>
        <v>26355</v>
      </c>
    </row>
    <row r="274" customFormat="false" ht="15" hidden="false" customHeight="false" outlineLevel="0" collapsed="false">
      <c r="A274" s="0" t="s">
        <v>61</v>
      </c>
      <c r="B274" s="0" t="n">
        <v>2018</v>
      </c>
      <c r="C274" s="0" t="s">
        <v>371</v>
      </c>
      <c r="D274" s="0" t="s">
        <v>319</v>
      </c>
      <c r="E274" s="0" t="s">
        <v>372</v>
      </c>
      <c r="F274" s="0" t="s">
        <v>141</v>
      </c>
      <c r="G274" s="0" t="s">
        <v>170</v>
      </c>
      <c r="H274" s="6" t="n">
        <f aca="false">'Export-dataset'!AC6</f>
        <v>44229</v>
      </c>
    </row>
    <row r="275" customFormat="false" ht="15" hidden="false" customHeight="false" outlineLevel="0" collapsed="false">
      <c r="A275" s="0" t="s">
        <v>61</v>
      </c>
      <c r="B275" s="0" t="n">
        <v>2019</v>
      </c>
      <c r="C275" s="0" t="s">
        <v>371</v>
      </c>
      <c r="D275" s="0" t="s">
        <v>319</v>
      </c>
      <c r="E275" s="0" t="s">
        <v>372</v>
      </c>
      <c r="F275" s="0" t="s">
        <v>141</v>
      </c>
      <c r="G275" s="0" t="s">
        <v>170</v>
      </c>
      <c r="H275" s="6" t="n">
        <f aca="false">'Export-dataset'!AC7</f>
        <v>50124</v>
      </c>
    </row>
    <row r="276" customFormat="false" ht="15" hidden="false" customHeight="false" outlineLevel="0" collapsed="false">
      <c r="A276" s="0" t="s">
        <v>61</v>
      </c>
      <c r="B276" s="0" t="n">
        <v>2020</v>
      </c>
      <c r="C276" s="0" t="s">
        <v>371</v>
      </c>
      <c r="D276" s="0" t="s">
        <v>319</v>
      </c>
      <c r="E276" s="0" t="s">
        <v>372</v>
      </c>
      <c r="F276" s="0" t="s">
        <v>141</v>
      </c>
      <c r="G276" s="0" t="s">
        <v>170</v>
      </c>
      <c r="H276" s="6" t="n">
        <f aca="false">'Export-dataset'!AC8</f>
        <v>37699</v>
      </c>
    </row>
    <row r="277" customFormat="false" ht="15" hidden="false" customHeight="false" outlineLevel="0" collapsed="false">
      <c r="A277" s="0" t="s">
        <v>61</v>
      </c>
      <c r="B277" s="0" t="n">
        <v>2021</v>
      </c>
      <c r="C277" s="0" t="s">
        <v>371</v>
      </c>
      <c r="D277" s="0" t="s">
        <v>319</v>
      </c>
      <c r="E277" s="0" t="s">
        <v>372</v>
      </c>
      <c r="F277" s="0" t="s">
        <v>141</v>
      </c>
      <c r="G277" s="0" t="s">
        <v>170</v>
      </c>
      <c r="H277" s="6" t="n">
        <f aca="false">'Export-dataset'!AC9</f>
        <v>51179</v>
      </c>
    </row>
    <row r="278" customFormat="false" ht="15" hidden="false" customHeight="false" outlineLevel="0" collapsed="false">
      <c r="A278" s="0" t="s">
        <v>61</v>
      </c>
      <c r="B278" s="0" t="n">
        <v>2022</v>
      </c>
      <c r="C278" s="0" t="s">
        <v>371</v>
      </c>
      <c r="D278" s="0" t="s">
        <v>319</v>
      </c>
      <c r="E278" s="0" t="s">
        <v>372</v>
      </c>
      <c r="F278" s="0" t="s">
        <v>141</v>
      </c>
      <c r="G278" s="0" t="s">
        <v>170</v>
      </c>
      <c r="H278" s="6" t="n">
        <f aca="false">'Export-dataset'!AC10</f>
        <v>91648</v>
      </c>
    </row>
    <row r="279" customFormat="false" ht="15" hidden="false" customHeight="false" outlineLevel="0" collapsed="false">
      <c r="A279" s="0" t="s">
        <v>61</v>
      </c>
      <c r="B279" s="0" t="n">
        <v>2023</v>
      </c>
      <c r="C279" s="0" t="s">
        <v>371</v>
      </c>
      <c r="D279" s="0" t="s">
        <v>319</v>
      </c>
      <c r="E279" s="0" t="s">
        <v>372</v>
      </c>
      <c r="F279" s="0" t="s">
        <v>141</v>
      </c>
      <c r="G279" s="0" t="s">
        <v>170</v>
      </c>
      <c r="H279" s="6" t="n">
        <f aca="false">'Export-dataset'!AC11</f>
        <v>76456</v>
      </c>
    </row>
    <row r="280" customFormat="false" ht="15" hidden="false" customHeight="false" outlineLevel="0" collapsed="false">
      <c r="A280" s="0" t="s">
        <v>61</v>
      </c>
      <c r="B280" s="0" t="n">
        <v>2024</v>
      </c>
      <c r="C280" s="0" t="s">
        <v>371</v>
      </c>
      <c r="D280" s="0" t="s">
        <v>319</v>
      </c>
      <c r="E280" s="0" t="s">
        <v>372</v>
      </c>
      <c r="F280" s="0" t="s">
        <v>141</v>
      </c>
      <c r="G280" s="0" t="s">
        <v>170</v>
      </c>
      <c r="H280" s="6" t="n">
        <f aca="false">'Export-dataset'!AC12</f>
        <v>69682</v>
      </c>
    </row>
    <row r="281" customFormat="false" ht="15" hidden="false" customHeight="false" outlineLevel="0" collapsed="false">
      <c r="A281" s="0" t="s">
        <v>61</v>
      </c>
      <c r="B281" s="0" t="n">
        <v>2025</v>
      </c>
      <c r="C281" s="0" t="s">
        <v>371</v>
      </c>
      <c r="D281" s="0" t="s">
        <v>319</v>
      </c>
      <c r="E281" s="0" t="s">
        <v>372</v>
      </c>
      <c r="F281" s="0" t="s">
        <v>141</v>
      </c>
      <c r="G281" s="0" t="s">
        <v>170</v>
      </c>
      <c r="H281" s="6" t="n">
        <f aca="false">'Export-dataset'!AC13</f>
        <v>61513</v>
      </c>
    </row>
    <row r="282" customFormat="false" ht="15" hidden="false" customHeight="false" outlineLevel="0" collapsed="false">
      <c r="A282" s="0" t="s">
        <v>61</v>
      </c>
      <c r="B282" s="0" t="n">
        <v>2016</v>
      </c>
      <c r="C282" s="0" t="s">
        <v>373</v>
      </c>
      <c r="D282" s="0" t="s">
        <v>316</v>
      </c>
      <c r="E282" s="0" t="s">
        <v>374</v>
      </c>
      <c r="F282" s="0" t="s">
        <v>141</v>
      </c>
      <c r="G282" s="0" t="s">
        <v>171</v>
      </c>
      <c r="H282" s="6" t="n">
        <f aca="false">'Export-dataset'!AD4</f>
        <v>675</v>
      </c>
    </row>
    <row r="283" customFormat="false" ht="15" hidden="false" customHeight="false" outlineLevel="0" collapsed="false">
      <c r="A283" s="0" t="s">
        <v>61</v>
      </c>
      <c r="B283" s="0" t="n">
        <v>2017</v>
      </c>
      <c r="C283" s="0" t="s">
        <v>373</v>
      </c>
      <c r="D283" s="0" t="s">
        <v>316</v>
      </c>
      <c r="E283" s="0" t="s">
        <v>374</v>
      </c>
      <c r="F283" s="0" t="s">
        <v>141</v>
      </c>
      <c r="G283" s="0" t="s">
        <v>171</v>
      </c>
      <c r="H283" s="6" t="n">
        <f aca="false">'Export-dataset'!AD5</f>
        <v>680</v>
      </c>
    </row>
    <row r="284" customFormat="false" ht="15" hidden="false" customHeight="false" outlineLevel="0" collapsed="false">
      <c r="A284" s="0" t="s">
        <v>61</v>
      </c>
      <c r="B284" s="0" t="n">
        <v>2018</v>
      </c>
      <c r="C284" s="0" t="s">
        <v>373</v>
      </c>
      <c r="D284" s="0" t="s">
        <v>316</v>
      </c>
      <c r="E284" s="0" t="s">
        <v>374</v>
      </c>
      <c r="F284" s="0" t="s">
        <v>141</v>
      </c>
      <c r="G284" s="0" t="s">
        <v>171</v>
      </c>
      <c r="H284" s="6" t="n">
        <f aca="false">'Export-dataset'!AD6</f>
        <v>663</v>
      </c>
    </row>
    <row r="285" customFormat="false" ht="15" hidden="false" customHeight="false" outlineLevel="0" collapsed="false">
      <c r="A285" s="0" t="s">
        <v>61</v>
      </c>
      <c r="B285" s="0" t="n">
        <v>2019</v>
      </c>
      <c r="C285" s="0" t="s">
        <v>373</v>
      </c>
      <c r="D285" s="0" t="s">
        <v>316</v>
      </c>
      <c r="E285" s="0" t="s">
        <v>374</v>
      </c>
      <c r="F285" s="0" t="s">
        <v>141</v>
      </c>
      <c r="G285" s="0" t="s">
        <v>171</v>
      </c>
      <c r="H285" s="6" t="n">
        <f aca="false">'Export-dataset'!AD7</f>
        <v>647</v>
      </c>
    </row>
    <row r="286" customFormat="false" ht="15" hidden="false" customHeight="false" outlineLevel="0" collapsed="false">
      <c r="A286" s="0" t="s">
        <v>61</v>
      </c>
      <c r="B286" s="0" t="n">
        <v>2020</v>
      </c>
      <c r="C286" s="0" t="s">
        <v>373</v>
      </c>
      <c r="D286" s="0" t="s">
        <v>316</v>
      </c>
      <c r="E286" s="0" t="s">
        <v>374</v>
      </c>
      <c r="F286" s="0" t="s">
        <v>141</v>
      </c>
      <c r="G286" s="0" t="s">
        <v>171</v>
      </c>
      <c r="H286" s="6" t="n">
        <f aca="false">'Export-dataset'!AD8</f>
        <v>761</v>
      </c>
    </row>
    <row r="287" customFormat="false" ht="15" hidden="false" customHeight="false" outlineLevel="0" collapsed="false">
      <c r="A287" s="0" t="s">
        <v>61</v>
      </c>
      <c r="B287" s="0" t="n">
        <v>2021</v>
      </c>
      <c r="C287" s="0" t="s">
        <v>373</v>
      </c>
      <c r="D287" s="0" t="s">
        <v>316</v>
      </c>
      <c r="E287" s="0" t="s">
        <v>374</v>
      </c>
      <c r="F287" s="0" t="s">
        <v>141</v>
      </c>
      <c r="G287" s="0" t="s">
        <v>171</v>
      </c>
      <c r="H287" s="6" t="n">
        <f aca="false">'Export-dataset'!AD9</f>
        <v>1085</v>
      </c>
    </row>
    <row r="288" customFormat="false" ht="15" hidden="false" customHeight="false" outlineLevel="0" collapsed="false">
      <c r="A288" s="0" t="s">
        <v>61</v>
      </c>
      <c r="B288" s="0" t="n">
        <v>2022</v>
      </c>
      <c r="C288" s="0" t="s">
        <v>373</v>
      </c>
      <c r="D288" s="0" t="s">
        <v>316</v>
      </c>
      <c r="E288" s="0" t="s">
        <v>374</v>
      </c>
      <c r="F288" s="0" t="s">
        <v>141</v>
      </c>
      <c r="G288" s="0" t="s">
        <v>171</v>
      </c>
      <c r="H288" s="6" t="n">
        <f aca="false">'Export-dataset'!AD10</f>
        <v>1682</v>
      </c>
    </row>
    <row r="289" customFormat="false" ht="15" hidden="false" customHeight="false" outlineLevel="0" collapsed="false">
      <c r="A289" s="0" t="s">
        <v>61</v>
      </c>
      <c r="B289" s="0" t="n">
        <v>2023</v>
      </c>
      <c r="C289" s="0" t="s">
        <v>373</v>
      </c>
      <c r="D289" s="0" t="s">
        <v>316</v>
      </c>
      <c r="E289" s="0" t="s">
        <v>374</v>
      </c>
      <c r="F289" s="0" t="s">
        <v>141</v>
      </c>
      <c r="G289" s="0" t="s">
        <v>171</v>
      </c>
      <c r="H289" s="6" t="n">
        <f aca="false">'Export-dataset'!AD11</f>
        <v>1609</v>
      </c>
    </row>
    <row r="290" customFormat="false" ht="15" hidden="false" customHeight="false" outlineLevel="0" collapsed="false">
      <c r="A290" s="0" t="s">
        <v>61</v>
      </c>
      <c r="B290" s="0" t="n">
        <v>2024</v>
      </c>
      <c r="C290" s="0" t="s">
        <v>373</v>
      </c>
      <c r="D290" s="0" t="s">
        <v>316</v>
      </c>
      <c r="E290" s="0" t="s">
        <v>374</v>
      </c>
      <c r="F290" s="0" t="s">
        <v>141</v>
      </c>
      <c r="G290" s="0" t="s">
        <v>171</v>
      </c>
      <c r="H290" s="6" t="n">
        <f aca="false">'Export-dataset'!AD12</f>
        <v>1397</v>
      </c>
    </row>
    <row r="291" customFormat="false" ht="15" hidden="false" customHeight="false" outlineLevel="0" collapsed="false">
      <c r="A291" s="0" t="s">
        <v>61</v>
      </c>
      <c r="B291" s="0" t="n">
        <v>2025</v>
      </c>
      <c r="C291" s="0" t="s">
        <v>373</v>
      </c>
      <c r="D291" s="0" t="s">
        <v>316</v>
      </c>
      <c r="E291" s="0" t="s">
        <v>374</v>
      </c>
      <c r="F291" s="0" t="s">
        <v>141</v>
      </c>
      <c r="G291" s="0" t="s">
        <v>171</v>
      </c>
      <c r="H291" s="6" t="n">
        <f aca="false">'Export-dataset'!AD13</f>
        <v>1806</v>
      </c>
    </row>
    <row r="292" customFormat="false" ht="15" hidden="false" customHeight="false" outlineLevel="0" collapsed="false">
      <c r="A292" s="0" t="s">
        <v>61</v>
      </c>
      <c r="B292" s="0" t="n">
        <v>2016</v>
      </c>
      <c r="C292" s="0" t="s">
        <v>375</v>
      </c>
      <c r="D292" s="0" t="s">
        <v>319</v>
      </c>
      <c r="E292" s="0" t="s">
        <v>376</v>
      </c>
      <c r="F292" s="0" t="s">
        <v>141</v>
      </c>
      <c r="G292" s="0" t="s">
        <v>172</v>
      </c>
      <c r="H292" s="6" t="n">
        <f aca="false">'Export-dataset'!AE4</f>
        <v>422</v>
      </c>
    </row>
    <row r="293" customFormat="false" ht="15" hidden="false" customHeight="false" outlineLevel="0" collapsed="false">
      <c r="A293" s="0" t="s">
        <v>61</v>
      </c>
      <c r="B293" s="0" t="n">
        <v>2017</v>
      </c>
      <c r="C293" s="0" t="s">
        <v>375</v>
      </c>
      <c r="D293" s="0" t="s">
        <v>319</v>
      </c>
      <c r="E293" s="0" t="s">
        <v>376</v>
      </c>
      <c r="F293" s="0" t="s">
        <v>141</v>
      </c>
      <c r="G293" s="0" t="s">
        <v>172</v>
      </c>
      <c r="H293" s="6" t="n">
        <f aca="false">'Export-dataset'!AE5</f>
        <v>390</v>
      </c>
    </row>
    <row r="294" customFormat="false" ht="15" hidden="false" customHeight="false" outlineLevel="0" collapsed="false">
      <c r="A294" s="0" t="s">
        <v>61</v>
      </c>
      <c r="B294" s="0" t="n">
        <v>2018</v>
      </c>
      <c r="C294" s="0" t="s">
        <v>375</v>
      </c>
      <c r="D294" s="0" t="s">
        <v>319</v>
      </c>
      <c r="E294" s="0" t="s">
        <v>376</v>
      </c>
      <c r="F294" s="0" t="s">
        <v>141</v>
      </c>
      <c r="G294" s="0" t="s">
        <v>172</v>
      </c>
      <c r="H294" s="6" t="n">
        <f aca="false">'Export-dataset'!AE6</f>
        <v>368</v>
      </c>
    </row>
    <row r="295" customFormat="false" ht="15" hidden="false" customHeight="false" outlineLevel="0" collapsed="false">
      <c r="A295" s="0" t="s">
        <v>61</v>
      </c>
      <c r="B295" s="0" t="n">
        <v>2019</v>
      </c>
      <c r="C295" s="0" t="s">
        <v>375</v>
      </c>
      <c r="D295" s="0" t="s">
        <v>319</v>
      </c>
      <c r="E295" s="0" t="s">
        <v>376</v>
      </c>
      <c r="F295" s="0" t="s">
        <v>141</v>
      </c>
      <c r="G295" s="0" t="s">
        <v>172</v>
      </c>
      <c r="H295" s="6" t="n">
        <f aca="false">'Export-dataset'!AE7</f>
        <v>359</v>
      </c>
    </row>
    <row r="296" customFormat="false" ht="15" hidden="false" customHeight="false" outlineLevel="0" collapsed="false">
      <c r="A296" s="0" t="s">
        <v>61</v>
      </c>
      <c r="B296" s="0" t="n">
        <v>2020</v>
      </c>
      <c r="C296" s="0" t="s">
        <v>375</v>
      </c>
      <c r="D296" s="0" t="s">
        <v>319</v>
      </c>
      <c r="E296" s="0" t="s">
        <v>376</v>
      </c>
      <c r="F296" s="0" t="s">
        <v>141</v>
      </c>
      <c r="G296" s="0" t="s">
        <v>172</v>
      </c>
      <c r="H296" s="6" t="n">
        <f aca="false">'Export-dataset'!AE8</f>
        <v>444</v>
      </c>
    </row>
    <row r="297" customFormat="false" ht="15" hidden="false" customHeight="false" outlineLevel="0" collapsed="false">
      <c r="A297" s="0" t="s">
        <v>61</v>
      </c>
      <c r="B297" s="0" t="n">
        <v>2021</v>
      </c>
      <c r="C297" s="0" t="s">
        <v>375</v>
      </c>
      <c r="D297" s="0" t="s">
        <v>319</v>
      </c>
      <c r="E297" s="0" t="s">
        <v>376</v>
      </c>
      <c r="F297" s="0" t="s">
        <v>141</v>
      </c>
      <c r="G297" s="0" t="s">
        <v>172</v>
      </c>
      <c r="H297" s="6" t="n">
        <f aca="false">'Export-dataset'!AE9</f>
        <v>669</v>
      </c>
    </row>
    <row r="298" customFormat="false" ht="15" hidden="false" customHeight="false" outlineLevel="0" collapsed="false">
      <c r="A298" s="0" t="s">
        <v>61</v>
      </c>
      <c r="B298" s="0" t="n">
        <v>2022</v>
      </c>
      <c r="C298" s="0" t="s">
        <v>375</v>
      </c>
      <c r="D298" s="0" t="s">
        <v>319</v>
      </c>
      <c r="E298" s="0" t="s">
        <v>376</v>
      </c>
      <c r="F298" s="0" t="s">
        <v>141</v>
      </c>
      <c r="G298" s="0" t="s">
        <v>172</v>
      </c>
      <c r="H298" s="6" t="n">
        <f aca="false">'Export-dataset'!AE10</f>
        <v>1080</v>
      </c>
    </row>
    <row r="299" customFormat="false" ht="15" hidden="false" customHeight="false" outlineLevel="0" collapsed="false">
      <c r="A299" s="0" t="s">
        <v>61</v>
      </c>
      <c r="B299" s="0" t="n">
        <v>2023</v>
      </c>
      <c r="C299" s="0" t="s">
        <v>375</v>
      </c>
      <c r="D299" s="0" t="s">
        <v>319</v>
      </c>
      <c r="E299" s="0" t="s">
        <v>376</v>
      </c>
      <c r="F299" s="0" t="s">
        <v>141</v>
      </c>
      <c r="G299" s="0" t="s">
        <v>172</v>
      </c>
      <c r="H299" s="6" t="n">
        <f aca="false">'Export-dataset'!AE11</f>
        <v>1053</v>
      </c>
    </row>
    <row r="300" customFormat="false" ht="15" hidden="false" customHeight="false" outlineLevel="0" collapsed="false">
      <c r="A300" s="0" t="s">
        <v>61</v>
      </c>
      <c r="B300" s="0" t="n">
        <v>2024</v>
      </c>
      <c r="C300" s="0" t="s">
        <v>375</v>
      </c>
      <c r="D300" s="0" t="s">
        <v>319</v>
      </c>
      <c r="E300" s="0" t="s">
        <v>376</v>
      </c>
      <c r="F300" s="0" t="s">
        <v>141</v>
      </c>
      <c r="G300" s="0" t="s">
        <v>172</v>
      </c>
      <c r="H300" s="6" t="n">
        <f aca="false">'Export-dataset'!AE12</f>
        <v>865</v>
      </c>
    </row>
    <row r="301" customFormat="false" ht="15" hidden="false" customHeight="false" outlineLevel="0" collapsed="false">
      <c r="A301" s="0" t="s">
        <v>61</v>
      </c>
      <c r="B301" s="0" t="n">
        <v>2025</v>
      </c>
      <c r="C301" s="0" t="s">
        <v>375</v>
      </c>
      <c r="D301" s="0" t="s">
        <v>319</v>
      </c>
      <c r="E301" s="0" t="s">
        <v>376</v>
      </c>
      <c r="F301" s="0" t="s">
        <v>141</v>
      </c>
      <c r="G301" s="0" t="s">
        <v>172</v>
      </c>
      <c r="H301" s="6" t="n">
        <f aca="false">'Export-dataset'!AE13</f>
        <v>823</v>
      </c>
    </row>
    <row r="302" customFormat="false" ht="15" hidden="false" customHeight="false" outlineLevel="0" collapsed="false">
      <c r="A302" s="0" t="s">
        <v>61</v>
      </c>
      <c r="B302" s="0" t="n">
        <v>2016</v>
      </c>
      <c r="C302" s="0" t="s">
        <v>377</v>
      </c>
      <c r="D302" s="0" t="s">
        <v>319</v>
      </c>
      <c r="E302" s="0" t="s">
        <v>378</v>
      </c>
      <c r="F302" s="0" t="s">
        <v>141</v>
      </c>
      <c r="G302" s="0" t="s">
        <v>173</v>
      </c>
      <c r="H302" s="6" t="n">
        <f aca="false">'Export-dataset'!AF4</f>
        <v>217</v>
      </c>
    </row>
    <row r="303" customFormat="false" ht="15" hidden="false" customHeight="false" outlineLevel="0" collapsed="false">
      <c r="A303" s="0" t="s">
        <v>61</v>
      </c>
      <c r="B303" s="0" t="n">
        <v>2017</v>
      </c>
      <c r="C303" s="0" t="s">
        <v>377</v>
      </c>
      <c r="D303" s="0" t="s">
        <v>319</v>
      </c>
      <c r="E303" s="0" t="s">
        <v>378</v>
      </c>
      <c r="F303" s="0" t="s">
        <v>141</v>
      </c>
      <c r="G303" s="0" t="s">
        <v>173</v>
      </c>
      <c r="H303" s="6" t="n">
        <f aca="false">'Export-dataset'!AF5</f>
        <v>241</v>
      </c>
    </row>
    <row r="304" customFormat="false" ht="15" hidden="false" customHeight="false" outlineLevel="0" collapsed="false">
      <c r="A304" s="0" t="s">
        <v>61</v>
      </c>
      <c r="B304" s="0" t="n">
        <v>2018</v>
      </c>
      <c r="C304" s="0" t="s">
        <v>377</v>
      </c>
      <c r="D304" s="0" t="s">
        <v>319</v>
      </c>
      <c r="E304" s="0" t="s">
        <v>378</v>
      </c>
      <c r="F304" s="0" t="s">
        <v>141</v>
      </c>
      <c r="G304" s="0" t="s">
        <v>173</v>
      </c>
      <c r="H304" s="6" t="n">
        <f aca="false">'Export-dataset'!AF6</f>
        <v>240</v>
      </c>
    </row>
    <row r="305" customFormat="false" ht="15" hidden="false" customHeight="false" outlineLevel="0" collapsed="false">
      <c r="A305" s="0" t="s">
        <v>61</v>
      </c>
      <c r="B305" s="0" t="n">
        <v>2019</v>
      </c>
      <c r="C305" s="0" t="s">
        <v>377</v>
      </c>
      <c r="D305" s="0" t="s">
        <v>319</v>
      </c>
      <c r="E305" s="0" t="s">
        <v>378</v>
      </c>
      <c r="F305" s="0" t="s">
        <v>141</v>
      </c>
      <c r="G305" s="0" t="s">
        <v>173</v>
      </c>
      <c r="H305" s="6" t="n">
        <f aca="false">'Export-dataset'!AF7</f>
        <v>243</v>
      </c>
    </row>
    <row r="306" customFormat="false" ht="15" hidden="false" customHeight="false" outlineLevel="0" collapsed="false">
      <c r="A306" s="0" t="s">
        <v>61</v>
      </c>
      <c r="B306" s="0" t="n">
        <v>2020</v>
      </c>
      <c r="C306" s="0" t="s">
        <v>377</v>
      </c>
      <c r="D306" s="0" t="s">
        <v>319</v>
      </c>
      <c r="E306" s="0" t="s">
        <v>378</v>
      </c>
      <c r="F306" s="0" t="s">
        <v>141</v>
      </c>
      <c r="G306" s="0" t="s">
        <v>173</v>
      </c>
      <c r="H306" s="6" t="n">
        <f aca="false">'Export-dataset'!AF8</f>
        <v>282</v>
      </c>
    </row>
    <row r="307" customFormat="false" ht="15" hidden="false" customHeight="false" outlineLevel="0" collapsed="false">
      <c r="A307" s="0" t="s">
        <v>61</v>
      </c>
      <c r="B307" s="0" t="n">
        <v>2021</v>
      </c>
      <c r="C307" s="0" t="s">
        <v>377</v>
      </c>
      <c r="D307" s="0" t="s">
        <v>319</v>
      </c>
      <c r="E307" s="0" t="s">
        <v>378</v>
      </c>
      <c r="F307" s="0" t="s">
        <v>141</v>
      </c>
      <c r="G307" s="0" t="s">
        <v>173</v>
      </c>
      <c r="H307" s="6" t="n">
        <f aca="false">'Export-dataset'!AF9</f>
        <v>360</v>
      </c>
    </row>
    <row r="308" customFormat="false" ht="15" hidden="false" customHeight="false" outlineLevel="0" collapsed="false">
      <c r="A308" s="0" t="s">
        <v>61</v>
      </c>
      <c r="B308" s="0" t="n">
        <v>2022</v>
      </c>
      <c r="C308" s="0" t="s">
        <v>377</v>
      </c>
      <c r="D308" s="0" t="s">
        <v>319</v>
      </c>
      <c r="E308" s="0" t="s">
        <v>378</v>
      </c>
      <c r="F308" s="0" t="s">
        <v>141</v>
      </c>
      <c r="G308" s="0" t="s">
        <v>173</v>
      </c>
      <c r="H308" s="6" t="n">
        <f aca="false">'Export-dataset'!AF10</f>
        <v>538</v>
      </c>
    </row>
    <row r="309" customFormat="false" ht="15" hidden="false" customHeight="false" outlineLevel="0" collapsed="false">
      <c r="A309" s="0" t="s">
        <v>61</v>
      </c>
      <c r="B309" s="0" t="n">
        <v>2023</v>
      </c>
      <c r="C309" s="0" t="s">
        <v>377</v>
      </c>
      <c r="D309" s="0" t="s">
        <v>319</v>
      </c>
      <c r="E309" s="0" t="s">
        <v>378</v>
      </c>
      <c r="F309" s="0" t="s">
        <v>141</v>
      </c>
      <c r="G309" s="0" t="s">
        <v>173</v>
      </c>
      <c r="H309" s="6" t="n">
        <f aca="false">'Export-dataset'!AF11</f>
        <v>420</v>
      </c>
    </row>
    <row r="310" customFormat="false" ht="15" hidden="false" customHeight="false" outlineLevel="0" collapsed="false">
      <c r="A310" s="0" t="s">
        <v>61</v>
      </c>
      <c r="B310" s="0" t="n">
        <v>2024</v>
      </c>
      <c r="C310" s="0" t="s">
        <v>377</v>
      </c>
      <c r="D310" s="0" t="s">
        <v>319</v>
      </c>
      <c r="E310" s="0" t="s">
        <v>378</v>
      </c>
      <c r="F310" s="0" t="s">
        <v>141</v>
      </c>
      <c r="G310" s="0" t="s">
        <v>173</v>
      </c>
      <c r="H310" s="6" t="n">
        <f aca="false">'Export-dataset'!AF12</f>
        <v>416</v>
      </c>
    </row>
    <row r="311" customFormat="false" ht="15" hidden="false" customHeight="false" outlineLevel="0" collapsed="false">
      <c r="A311" s="0" t="s">
        <v>61</v>
      </c>
      <c r="B311" s="0" t="n">
        <v>2025</v>
      </c>
      <c r="C311" s="0" t="s">
        <v>377</v>
      </c>
      <c r="D311" s="0" t="s">
        <v>319</v>
      </c>
      <c r="E311" s="0" t="s">
        <v>378</v>
      </c>
      <c r="F311" s="0" t="s">
        <v>141</v>
      </c>
      <c r="G311" s="0" t="s">
        <v>173</v>
      </c>
      <c r="H311" s="6" t="n">
        <f aca="false">'Export-dataset'!AF13</f>
        <v>529</v>
      </c>
    </row>
    <row r="312" customFormat="false" ht="15" hidden="false" customHeight="false" outlineLevel="0" collapsed="false">
      <c r="A312" s="0" t="s">
        <v>61</v>
      </c>
      <c r="B312" s="0" t="n">
        <v>2016</v>
      </c>
      <c r="C312" s="0" t="s">
        <v>379</v>
      </c>
      <c r="D312" s="0" t="s">
        <v>319</v>
      </c>
      <c r="E312" s="0" t="s">
        <v>380</v>
      </c>
      <c r="F312" s="0" t="s">
        <v>141</v>
      </c>
      <c r="G312" s="0" t="s">
        <v>174</v>
      </c>
      <c r="H312" s="6" t="n">
        <f aca="false">'Export-dataset'!AG4</f>
        <v>37</v>
      </c>
    </row>
    <row r="313" customFormat="false" ht="15" hidden="false" customHeight="false" outlineLevel="0" collapsed="false">
      <c r="A313" s="0" t="s">
        <v>61</v>
      </c>
      <c r="B313" s="0" t="n">
        <v>2017</v>
      </c>
      <c r="C313" s="0" t="s">
        <v>379</v>
      </c>
      <c r="D313" s="0" t="s">
        <v>319</v>
      </c>
      <c r="E313" s="0" t="s">
        <v>380</v>
      </c>
      <c r="F313" s="0" t="s">
        <v>141</v>
      </c>
      <c r="G313" s="0" t="s">
        <v>174</v>
      </c>
      <c r="H313" s="6" t="n">
        <f aca="false">'Export-dataset'!AG5</f>
        <v>49</v>
      </c>
    </row>
    <row r="314" customFormat="false" ht="15" hidden="false" customHeight="false" outlineLevel="0" collapsed="false">
      <c r="A314" s="0" t="s">
        <v>61</v>
      </c>
      <c r="B314" s="0" t="n">
        <v>2018</v>
      </c>
      <c r="C314" s="0" t="s">
        <v>379</v>
      </c>
      <c r="D314" s="0" t="s">
        <v>319</v>
      </c>
      <c r="E314" s="0" t="s">
        <v>380</v>
      </c>
      <c r="F314" s="0" t="s">
        <v>141</v>
      </c>
      <c r="G314" s="0" t="s">
        <v>174</v>
      </c>
      <c r="H314" s="6" t="n">
        <f aca="false">'Export-dataset'!AG6</f>
        <v>55</v>
      </c>
    </row>
    <row r="315" customFormat="false" ht="15" hidden="false" customHeight="false" outlineLevel="0" collapsed="false">
      <c r="A315" s="0" t="s">
        <v>61</v>
      </c>
      <c r="B315" s="0" t="n">
        <v>2019</v>
      </c>
      <c r="C315" s="0" t="s">
        <v>379</v>
      </c>
      <c r="D315" s="0" t="s">
        <v>319</v>
      </c>
      <c r="E315" s="0" t="s">
        <v>380</v>
      </c>
      <c r="F315" s="0" t="s">
        <v>141</v>
      </c>
      <c r="G315" s="0" t="s">
        <v>174</v>
      </c>
      <c r="H315" s="6" t="n">
        <f aca="false">'Export-dataset'!AG7</f>
        <v>47</v>
      </c>
    </row>
    <row r="316" customFormat="false" ht="15" hidden="false" customHeight="false" outlineLevel="0" collapsed="false">
      <c r="A316" s="0" t="s">
        <v>61</v>
      </c>
      <c r="B316" s="0" t="n">
        <v>2020</v>
      </c>
      <c r="C316" s="0" t="s">
        <v>379</v>
      </c>
      <c r="D316" s="0" t="s">
        <v>319</v>
      </c>
      <c r="E316" s="0" t="s">
        <v>380</v>
      </c>
      <c r="F316" s="0" t="s">
        <v>141</v>
      </c>
      <c r="G316" s="0" t="s">
        <v>174</v>
      </c>
      <c r="H316" s="6" t="n">
        <f aca="false">'Export-dataset'!AG8</f>
        <v>33</v>
      </c>
    </row>
    <row r="317" customFormat="false" ht="15" hidden="false" customHeight="false" outlineLevel="0" collapsed="false">
      <c r="A317" s="0" t="s">
        <v>61</v>
      </c>
      <c r="B317" s="0" t="n">
        <v>2021</v>
      </c>
      <c r="C317" s="0" t="s">
        <v>379</v>
      </c>
      <c r="D317" s="0" t="s">
        <v>319</v>
      </c>
      <c r="E317" s="0" t="s">
        <v>380</v>
      </c>
      <c r="F317" s="0" t="s">
        <v>141</v>
      </c>
      <c r="G317" s="0" t="s">
        <v>174</v>
      </c>
      <c r="H317" s="6" t="n">
        <f aca="false">'Export-dataset'!AG9</f>
        <v>54</v>
      </c>
    </row>
    <row r="318" customFormat="false" ht="15" hidden="false" customHeight="false" outlineLevel="0" collapsed="false">
      <c r="A318" s="0" t="s">
        <v>61</v>
      </c>
      <c r="B318" s="0" t="n">
        <v>2022</v>
      </c>
      <c r="C318" s="0" t="s">
        <v>379</v>
      </c>
      <c r="D318" s="0" t="s">
        <v>319</v>
      </c>
      <c r="E318" s="0" t="s">
        <v>380</v>
      </c>
      <c r="F318" s="0" t="s">
        <v>141</v>
      </c>
      <c r="G318" s="0" t="s">
        <v>174</v>
      </c>
      <c r="H318" s="6" t="n">
        <f aca="false">'Export-dataset'!AG10</f>
        <v>64</v>
      </c>
    </row>
    <row r="319" customFormat="false" ht="15" hidden="false" customHeight="false" outlineLevel="0" collapsed="false">
      <c r="A319" s="0" t="s">
        <v>61</v>
      </c>
      <c r="B319" s="0" t="n">
        <v>2023</v>
      </c>
      <c r="C319" s="0" t="s">
        <v>379</v>
      </c>
      <c r="D319" s="0" t="s">
        <v>319</v>
      </c>
      <c r="E319" s="0" t="s">
        <v>380</v>
      </c>
      <c r="F319" s="0" t="s">
        <v>141</v>
      </c>
      <c r="G319" s="0" t="s">
        <v>174</v>
      </c>
      <c r="H319" s="6" t="n">
        <f aca="false">'Export-dataset'!AG11</f>
        <v>136</v>
      </c>
    </row>
    <row r="320" customFormat="false" ht="15" hidden="false" customHeight="false" outlineLevel="0" collapsed="false">
      <c r="A320" s="0" t="s">
        <v>61</v>
      </c>
      <c r="B320" s="0" t="n">
        <v>2024</v>
      </c>
      <c r="C320" s="0" t="s">
        <v>379</v>
      </c>
      <c r="D320" s="0" t="s">
        <v>319</v>
      </c>
      <c r="E320" s="0" t="s">
        <v>380</v>
      </c>
      <c r="F320" s="0" t="s">
        <v>141</v>
      </c>
      <c r="G320" s="0" t="s">
        <v>174</v>
      </c>
      <c r="H320" s="6" t="n">
        <f aca="false">'Export-dataset'!AG12</f>
        <v>118</v>
      </c>
    </row>
    <row r="321" customFormat="false" ht="15" hidden="false" customHeight="false" outlineLevel="0" collapsed="false">
      <c r="A321" s="0" t="s">
        <v>61</v>
      </c>
      <c r="B321" s="0" t="n">
        <v>2025</v>
      </c>
      <c r="C321" s="0" t="s">
        <v>379</v>
      </c>
      <c r="D321" s="0" t="s">
        <v>319</v>
      </c>
      <c r="E321" s="0" t="s">
        <v>380</v>
      </c>
      <c r="F321" s="0" t="s">
        <v>141</v>
      </c>
      <c r="G321" s="0" t="s">
        <v>174</v>
      </c>
      <c r="H321" s="6" t="n">
        <f aca="false">'Export-dataset'!AG13</f>
        <v>455</v>
      </c>
    </row>
    <row r="322" customFormat="false" ht="15" hidden="false" customHeight="false" outlineLevel="0" collapsed="false">
      <c r="A322" s="0" t="s">
        <v>61</v>
      </c>
      <c r="B322" s="0" t="n">
        <v>2016</v>
      </c>
      <c r="C322" s="0" t="s">
        <v>381</v>
      </c>
      <c r="D322" s="0" t="s">
        <v>316</v>
      </c>
      <c r="E322" s="0" t="s">
        <v>382</v>
      </c>
      <c r="F322" s="0" t="s">
        <v>141</v>
      </c>
      <c r="G322" s="0" t="s">
        <v>175</v>
      </c>
      <c r="H322" s="6" t="n">
        <f aca="false">'Export-dataset'!AH4</f>
        <v>8367</v>
      </c>
    </row>
    <row r="323" customFormat="false" ht="15" hidden="false" customHeight="false" outlineLevel="0" collapsed="false">
      <c r="A323" s="0" t="s">
        <v>61</v>
      </c>
      <c r="B323" s="0" t="n">
        <v>2017</v>
      </c>
      <c r="C323" s="0" t="s">
        <v>381</v>
      </c>
      <c r="D323" s="0" t="s">
        <v>316</v>
      </c>
      <c r="E323" s="0" t="s">
        <v>382</v>
      </c>
      <c r="F323" s="0" t="s">
        <v>141</v>
      </c>
      <c r="G323" s="0" t="s">
        <v>175</v>
      </c>
      <c r="H323" s="6" t="n">
        <f aca="false">'Export-dataset'!AH5</f>
        <v>8643</v>
      </c>
    </row>
    <row r="324" customFormat="false" ht="15" hidden="false" customHeight="false" outlineLevel="0" collapsed="false">
      <c r="A324" s="0" t="s">
        <v>61</v>
      </c>
      <c r="B324" s="0" t="n">
        <v>2018</v>
      </c>
      <c r="C324" s="0" t="s">
        <v>381</v>
      </c>
      <c r="D324" s="0" t="s">
        <v>316</v>
      </c>
      <c r="E324" s="0" t="s">
        <v>382</v>
      </c>
      <c r="F324" s="0" t="s">
        <v>141</v>
      </c>
      <c r="G324" s="0" t="s">
        <v>175</v>
      </c>
      <c r="H324" s="6" t="n">
        <f aca="false">'Export-dataset'!AH6</f>
        <v>10510</v>
      </c>
    </row>
    <row r="325" customFormat="false" ht="15" hidden="false" customHeight="false" outlineLevel="0" collapsed="false">
      <c r="A325" s="0" t="s">
        <v>61</v>
      </c>
      <c r="B325" s="0" t="n">
        <v>2019</v>
      </c>
      <c r="C325" s="0" t="s">
        <v>381</v>
      </c>
      <c r="D325" s="0" t="s">
        <v>316</v>
      </c>
      <c r="E325" s="0" t="s">
        <v>382</v>
      </c>
      <c r="F325" s="0" t="s">
        <v>141</v>
      </c>
      <c r="G325" s="0" t="s">
        <v>175</v>
      </c>
      <c r="H325" s="6" t="n">
        <f aca="false">'Export-dataset'!AH7</f>
        <v>11971</v>
      </c>
    </row>
    <row r="326" customFormat="false" ht="15" hidden="false" customHeight="false" outlineLevel="0" collapsed="false">
      <c r="A326" s="0" t="s">
        <v>61</v>
      </c>
      <c r="B326" s="0" t="n">
        <v>2020</v>
      </c>
      <c r="C326" s="0" t="s">
        <v>381</v>
      </c>
      <c r="D326" s="0" t="s">
        <v>316</v>
      </c>
      <c r="E326" s="0" t="s">
        <v>382</v>
      </c>
      <c r="F326" s="0" t="s">
        <v>141</v>
      </c>
      <c r="G326" s="0" t="s">
        <v>175</v>
      </c>
      <c r="H326" s="6" t="n">
        <f aca="false">'Export-dataset'!AH8</f>
        <v>11092</v>
      </c>
    </row>
    <row r="327" customFormat="false" ht="15" hidden="false" customHeight="false" outlineLevel="0" collapsed="false">
      <c r="A327" s="0" t="s">
        <v>61</v>
      </c>
      <c r="B327" s="0" t="n">
        <v>2021</v>
      </c>
      <c r="C327" s="0" t="s">
        <v>381</v>
      </c>
      <c r="D327" s="0" t="s">
        <v>316</v>
      </c>
      <c r="E327" s="0" t="s">
        <v>382</v>
      </c>
      <c r="F327" s="0" t="s">
        <v>141</v>
      </c>
      <c r="G327" s="0" t="s">
        <v>175</v>
      </c>
      <c r="H327" s="6" t="n">
        <f aca="false">'Export-dataset'!AH9</f>
        <v>10052</v>
      </c>
    </row>
    <row r="328" customFormat="false" ht="15" hidden="false" customHeight="false" outlineLevel="0" collapsed="false">
      <c r="A328" s="0" t="s">
        <v>61</v>
      </c>
      <c r="B328" s="0" t="n">
        <v>2022</v>
      </c>
      <c r="C328" s="0" t="s">
        <v>381</v>
      </c>
      <c r="D328" s="0" t="s">
        <v>316</v>
      </c>
      <c r="E328" s="0" t="s">
        <v>382</v>
      </c>
      <c r="F328" s="0" t="s">
        <v>141</v>
      </c>
      <c r="G328" s="0" t="s">
        <v>175</v>
      </c>
      <c r="H328" s="6" t="n">
        <f aca="false">'Export-dataset'!AH10</f>
        <v>12575</v>
      </c>
    </row>
    <row r="329" customFormat="false" ht="15" hidden="false" customHeight="false" outlineLevel="0" collapsed="false">
      <c r="A329" s="0" t="s">
        <v>61</v>
      </c>
      <c r="B329" s="0" t="n">
        <v>2023</v>
      </c>
      <c r="C329" s="0" t="s">
        <v>381</v>
      </c>
      <c r="D329" s="0" t="s">
        <v>316</v>
      </c>
      <c r="E329" s="0" t="s">
        <v>382</v>
      </c>
      <c r="F329" s="0" t="s">
        <v>141</v>
      </c>
      <c r="G329" s="0" t="s">
        <v>175</v>
      </c>
      <c r="H329" s="6" t="n">
        <f aca="false">'Export-dataset'!AH11</f>
        <v>11484</v>
      </c>
    </row>
    <row r="330" customFormat="false" ht="15" hidden="false" customHeight="false" outlineLevel="0" collapsed="false">
      <c r="A330" s="0" t="s">
        <v>61</v>
      </c>
      <c r="B330" s="0" t="n">
        <v>2024</v>
      </c>
      <c r="C330" s="0" t="s">
        <v>381</v>
      </c>
      <c r="D330" s="0" t="s">
        <v>316</v>
      </c>
      <c r="E330" s="0" t="s">
        <v>382</v>
      </c>
      <c r="F330" s="0" t="s">
        <v>141</v>
      </c>
      <c r="G330" s="0" t="s">
        <v>175</v>
      </c>
      <c r="H330" s="6" t="n">
        <f aca="false">'Export-dataset'!AH12</f>
        <v>12272</v>
      </c>
    </row>
    <row r="331" customFormat="false" ht="15" hidden="false" customHeight="false" outlineLevel="0" collapsed="false">
      <c r="A331" s="0" t="s">
        <v>61</v>
      </c>
      <c r="B331" s="0" t="n">
        <v>2025</v>
      </c>
      <c r="C331" s="0" t="s">
        <v>381</v>
      </c>
      <c r="D331" s="0" t="s">
        <v>316</v>
      </c>
      <c r="E331" s="0" t="s">
        <v>382</v>
      </c>
      <c r="F331" s="0" t="s">
        <v>141</v>
      </c>
      <c r="G331" s="0" t="s">
        <v>175</v>
      </c>
      <c r="H331" s="6" t="n">
        <f aca="false">'Export-dataset'!AH13</f>
        <v>12141</v>
      </c>
    </row>
    <row r="332" customFormat="false" ht="15" hidden="false" customHeight="false" outlineLevel="0" collapsed="false">
      <c r="A332" s="0" t="s">
        <v>61</v>
      </c>
      <c r="B332" s="0" t="n">
        <v>2016</v>
      </c>
      <c r="C332" s="0" t="s">
        <v>383</v>
      </c>
      <c r="D332" s="0" t="s">
        <v>319</v>
      </c>
      <c r="E332" s="0" t="s">
        <v>384</v>
      </c>
      <c r="F332" s="0" t="s">
        <v>141</v>
      </c>
      <c r="G332" s="0" t="s">
        <v>176</v>
      </c>
      <c r="H332" s="6" t="n">
        <f aca="false">'Export-dataset'!AI4</f>
        <v>227</v>
      </c>
    </row>
    <row r="333" customFormat="false" ht="15" hidden="false" customHeight="false" outlineLevel="0" collapsed="false">
      <c r="A333" s="0" t="s">
        <v>61</v>
      </c>
      <c r="B333" s="0" t="n">
        <v>2017</v>
      </c>
      <c r="C333" s="0" t="s">
        <v>383</v>
      </c>
      <c r="D333" s="0" t="s">
        <v>319</v>
      </c>
      <c r="E333" s="0" t="s">
        <v>384</v>
      </c>
      <c r="F333" s="0" t="s">
        <v>141</v>
      </c>
      <c r="G333" s="0" t="s">
        <v>176</v>
      </c>
      <c r="H333" s="6" t="n">
        <f aca="false">'Export-dataset'!AI5</f>
        <v>199</v>
      </c>
    </row>
    <row r="334" customFormat="false" ht="15" hidden="false" customHeight="false" outlineLevel="0" collapsed="false">
      <c r="A334" s="0" t="s">
        <v>61</v>
      </c>
      <c r="B334" s="0" t="n">
        <v>2018</v>
      </c>
      <c r="C334" s="0" t="s">
        <v>383</v>
      </c>
      <c r="D334" s="0" t="s">
        <v>319</v>
      </c>
      <c r="E334" s="0" t="s">
        <v>384</v>
      </c>
      <c r="F334" s="0" t="s">
        <v>141</v>
      </c>
      <c r="G334" s="0" t="s">
        <v>176</v>
      </c>
      <c r="H334" s="6" t="n">
        <f aca="false">'Export-dataset'!AI6</f>
        <v>201</v>
      </c>
    </row>
    <row r="335" customFormat="false" ht="15" hidden="false" customHeight="false" outlineLevel="0" collapsed="false">
      <c r="A335" s="0" t="s">
        <v>61</v>
      </c>
      <c r="B335" s="0" t="n">
        <v>2019</v>
      </c>
      <c r="C335" s="0" t="s">
        <v>383</v>
      </c>
      <c r="D335" s="0" t="s">
        <v>319</v>
      </c>
      <c r="E335" s="0" t="s">
        <v>384</v>
      </c>
      <c r="F335" s="0" t="s">
        <v>141</v>
      </c>
      <c r="G335" s="0" t="s">
        <v>176</v>
      </c>
      <c r="H335" s="6" t="n">
        <f aca="false">'Export-dataset'!AI7</f>
        <v>212</v>
      </c>
    </row>
    <row r="336" customFormat="false" ht="15" hidden="false" customHeight="false" outlineLevel="0" collapsed="false">
      <c r="A336" s="0" t="s">
        <v>61</v>
      </c>
      <c r="B336" s="0" t="n">
        <v>2020</v>
      </c>
      <c r="C336" s="0" t="s">
        <v>383</v>
      </c>
      <c r="D336" s="0" t="s">
        <v>319</v>
      </c>
      <c r="E336" s="0" t="s">
        <v>384</v>
      </c>
      <c r="F336" s="0" t="s">
        <v>141</v>
      </c>
      <c r="G336" s="0" t="s">
        <v>176</v>
      </c>
      <c r="H336" s="6" t="n">
        <f aca="false">'Export-dataset'!AI8</f>
        <v>227</v>
      </c>
    </row>
    <row r="337" customFormat="false" ht="15" hidden="false" customHeight="false" outlineLevel="0" collapsed="false">
      <c r="A337" s="0" t="s">
        <v>61</v>
      </c>
      <c r="B337" s="0" t="n">
        <v>2021</v>
      </c>
      <c r="C337" s="0" t="s">
        <v>383</v>
      </c>
      <c r="D337" s="0" t="s">
        <v>319</v>
      </c>
      <c r="E337" s="0" t="s">
        <v>384</v>
      </c>
      <c r="F337" s="0" t="s">
        <v>141</v>
      </c>
      <c r="G337" s="0" t="s">
        <v>176</v>
      </c>
      <c r="H337" s="6" t="n">
        <f aca="false">'Export-dataset'!AI9</f>
        <v>239</v>
      </c>
    </row>
    <row r="338" customFormat="false" ht="15" hidden="false" customHeight="false" outlineLevel="0" collapsed="false">
      <c r="A338" s="0" t="s">
        <v>61</v>
      </c>
      <c r="B338" s="0" t="n">
        <v>2022</v>
      </c>
      <c r="C338" s="0" t="s">
        <v>383</v>
      </c>
      <c r="D338" s="0" t="s">
        <v>319</v>
      </c>
      <c r="E338" s="0" t="s">
        <v>384</v>
      </c>
      <c r="F338" s="0" t="s">
        <v>141</v>
      </c>
      <c r="G338" s="0" t="s">
        <v>176</v>
      </c>
      <c r="H338" s="6" t="n">
        <f aca="false">'Export-dataset'!AI10</f>
        <v>245</v>
      </c>
    </row>
    <row r="339" customFormat="false" ht="15" hidden="false" customHeight="false" outlineLevel="0" collapsed="false">
      <c r="A339" s="0" t="s">
        <v>61</v>
      </c>
      <c r="B339" s="0" t="n">
        <v>2023</v>
      </c>
      <c r="C339" s="0" t="s">
        <v>383</v>
      </c>
      <c r="D339" s="0" t="s">
        <v>319</v>
      </c>
      <c r="E339" s="0" t="s">
        <v>384</v>
      </c>
      <c r="F339" s="0" t="s">
        <v>141</v>
      </c>
      <c r="G339" s="0" t="s">
        <v>176</v>
      </c>
      <c r="H339" s="6" t="n">
        <f aca="false">'Export-dataset'!AI11</f>
        <v>221</v>
      </c>
    </row>
    <row r="340" customFormat="false" ht="15" hidden="false" customHeight="false" outlineLevel="0" collapsed="false">
      <c r="A340" s="0" t="s">
        <v>61</v>
      </c>
      <c r="B340" s="0" t="n">
        <v>2024</v>
      </c>
      <c r="C340" s="0" t="s">
        <v>383</v>
      </c>
      <c r="D340" s="0" t="s">
        <v>319</v>
      </c>
      <c r="E340" s="0" t="s">
        <v>384</v>
      </c>
      <c r="F340" s="0" t="s">
        <v>141</v>
      </c>
      <c r="G340" s="0" t="s">
        <v>176</v>
      </c>
      <c r="H340" s="6" t="n">
        <f aca="false">'Export-dataset'!AI12</f>
        <v>215</v>
      </c>
    </row>
    <row r="341" customFormat="false" ht="15" hidden="false" customHeight="false" outlineLevel="0" collapsed="false">
      <c r="A341" s="0" t="s">
        <v>61</v>
      </c>
      <c r="B341" s="0" t="n">
        <v>2025</v>
      </c>
      <c r="C341" s="0" t="s">
        <v>383</v>
      </c>
      <c r="D341" s="0" t="s">
        <v>319</v>
      </c>
      <c r="E341" s="0" t="s">
        <v>384</v>
      </c>
      <c r="F341" s="0" t="s">
        <v>141</v>
      </c>
      <c r="G341" s="0" t="s">
        <v>176</v>
      </c>
      <c r="H341" s="6" t="n">
        <f aca="false">'Export-dataset'!AI13</f>
        <v>251</v>
      </c>
    </row>
    <row r="342" customFormat="false" ht="15" hidden="false" customHeight="false" outlineLevel="0" collapsed="false">
      <c r="A342" s="0" t="s">
        <v>61</v>
      </c>
      <c r="B342" s="0" t="n">
        <v>2016</v>
      </c>
      <c r="C342" s="0" t="s">
        <v>385</v>
      </c>
      <c r="D342" s="0" t="s">
        <v>319</v>
      </c>
      <c r="E342" s="0" t="s">
        <v>386</v>
      </c>
      <c r="F342" s="0" t="s">
        <v>141</v>
      </c>
      <c r="G342" s="0" t="s">
        <v>177</v>
      </c>
      <c r="H342" s="6" t="n">
        <f aca="false">'Export-dataset'!AJ4</f>
        <v>657</v>
      </c>
    </row>
    <row r="343" customFormat="false" ht="15" hidden="false" customHeight="false" outlineLevel="0" collapsed="false">
      <c r="A343" s="0" t="s">
        <v>61</v>
      </c>
      <c r="B343" s="0" t="n">
        <v>2017</v>
      </c>
      <c r="C343" s="0" t="s">
        <v>385</v>
      </c>
      <c r="D343" s="0" t="s">
        <v>319</v>
      </c>
      <c r="E343" s="0" t="s">
        <v>386</v>
      </c>
      <c r="F343" s="0" t="s">
        <v>141</v>
      </c>
      <c r="G343" s="0" t="s">
        <v>177</v>
      </c>
      <c r="H343" s="6" t="n">
        <f aca="false">'Export-dataset'!AJ5</f>
        <v>702</v>
      </c>
    </row>
    <row r="344" customFormat="false" ht="15" hidden="false" customHeight="false" outlineLevel="0" collapsed="false">
      <c r="A344" s="0" t="s">
        <v>61</v>
      </c>
      <c r="B344" s="0" t="n">
        <v>2018</v>
      </c>
      <c r="C344" s="0" t="s">
        <v>385</v>
      </c>
      <c r="D344" s="0" t="s">
        <v>319</v>
      </c>
      <c r="E344" s="0" t="s">
        <v>386</v>
      </c>
      <c r="F344" s="0" t="s">
        <v>141</v>
      </c>
      <c r="G344" s="0" t="s">
        <v>177</v>
      </c>
      <c r="H344" s="6" t="n">
        <f aca="false">'Export-dataset'!AJ6</f>
        <v>937</v>
      </c>
    </row>
    <row r="345" customFormat="false" ht="15" hidden="false" customHeight="false" outlineLevel="0" collapsed="false">
      <c r="A345" s="0" t="s">
        <v>61</v>
      </c>
      <c r="B345" s="0" t="n">
        <v>2019</v>
      </c>
      <c r="C345" s="0" t="s">
        <v>385</v>
      </c>
      <c r="D345" s="0" t="s">
        <v>319</v>
      </c>
      <c r="E345" s="0" t="s">
        <v>386</v>
      </c>
      <c r="F345" s="0" t="s">
        <v>141</v>
      </c>
      <c r="G345" s="0" t="s">
        <v>177</v>
      </c>
      <c r="H345" s="6" t="n">
        <f aca="false">'Export-dataset'!AJ7</f>
        <v>754</v>
      </c>
    </row>
    <row r="346" customFormat="false" ht="15" hidden="false" customHeight="false" outlineLevel="0" collapsed="false">
      <c r="A346" s="0" t="s">
        <v>61</v>
      </c>
      <c r="B346" s="0" t="n">
        <v>2020</v>
      </c>
      <c r="C346" s="0" t="s">
        <v>385</v>
      </c>
      <c r="D346" s="0" t="s">
        <v>319</v>
      </c>
      <c r="E346" s="0" t="s">
        <v>386</v>
      </c>
      <c r="F346" s="0" t="s">
        <v>141</v>
      </c>
      <c r="G346" s="0" t="s">
        <v>177</v>
      </c>
      <c r="H346" s="6" t="n">
        <f aca="false">'Export-dataset'!AJ8</f>
        <v>641</v>
      </c>
    </row>
    <row r="347" customFormat="false" ht="15" hidden="false" customHeight="false" outlineLevel="0" collapsed="false">
      <c r="A347" s="0" t="s">
        <v>61</v>
      </c>
      <c r="B347" s="0" t="n">
        <v>2021</v>
      </c>
      <c r="C347" s="0" t="s">
        <v>385</v>
      </c>
      <c r="D347" s="0" t="s">
        <v>319</v>
      </c>
      <c r="E347" s="0" t="s">
        <v>386</v>
      </c>
      <c r="F347" s="0" t="s">
        <v>141</v>
      </c>
      <c r="G347" s="0" t="s">
        <v>177</v>
      </c>
      <c r="H347" s="6" t="n">
        <f aca="false">'Export-dataset'!AJ9</f>
        <v>808</v>
      </c>
    </row>
    <row r="348" customFormat="false" ht="15" hidden="false" customHeight="false" outlineLevel="0" collapsed="false">
      <c r="A348" s="0" t="s">
        <v>61</v>
      </c>
      <c r="B348" s="0" t="n">
        <v>2022</v>
      </c>
      <c r="C348" s="0" t="s">
        <v>385</v>
      </c>
      <c r="D348" s="0" t="s">
        <v>319</v>
      </c>
      <c r="E348" s="0" t="s">
        <v>386</v>
      </c>
      <c r="F348" s="0" t="s">
        <v>141</v>
      </c>
      <c r="G348" s="0" t="s">
        <v>177</v>
      </c>
      <c r="H348" s="6" t="n">
        <f aca="false">'Export-dataset'!AJ10</f>
        <v>1675</v>
      </c>
    </row>
    <row r="349" customFormat="false" ht="15" hidden="false" customHeight="false" outlineLevel="0" collapsed="false">
      <c r="A349" s="0" t="s">
        <v>61</v>
      </c>
      <c r="B349" s="0" t="n">
        <v>2023</v>
      </c>
      <c r="C349" s="0" t="s">
        <v>385</v>
      </c>
      <c r="D349" s="0" t="s">
        <v>319</v>
      </c>
      <c r="E349" s="0" t="s">
        <v>386</v>
      </c>
      <c r="F349" s="0" t="s">
        <v>141</v>
      </c>
      <c r="G349" s="0" t="s">
        <v>177</v>
      </c>
      <c r="H349" s="6" t="n">
        <f aca="false">'Export-dataset'!AJ11</f>
        <v>1264</v>
      </c>
    </row>
    <row r="350" customFormat="false" ht="15" hidden="false" customHeight="false" outlineLevel="0" collapsed="false">
      <c r="A350" s="0" t="s">
        <v>61</v>
      </c>
      <c r="B350" s="0" t="n">
        <v>2024</v>
      </c>
      <c r="C350" s="0" t="s">
        <v>385</v>
      </c>
      <c r="D350" s="0" t="s">
        <v>319</v>
      </c>
      <c r="E350" s="0" t="s">
        <v>386</v>
      </c>
      <c r="F350" s="0" t="s">
        <v>141</v>
      </c>
      <c r="G350" s="0" t="s">
        <v>177</v>
      </c>
      <c r="H350" s="6" t="n">
        <f aca="false">'Export-dataset'!AJ12</f>
        <v>946</v>
      </c>
    </row>
    <row r="351" customFormat="false" ht="15" hidden="false" customHeight="false" outlineLevel="0" collapsed="false">
      <c r="A351" s="0" t="s">
        <v>61</v>
      </c>
      <c r="B351" s="0" t="n">
        <v>2025</v>
      </c>
      <c r="C351" s="0" t="s">
        <v>385</v>
      </c>
      <c r="D351" s="0" t="s">
        <v>319</v>
      </c>
      <c r="E351" s="0" t="s">
        <v>386</v>
      </c>
      <c r="F351" s="0" t="s">
        <v>141</v>
      </c>
      <c r="G351" s="0" t="s">
        <v>177</v>
      </c>
      <c r="H351" s="6" t="n">
        <f aca="false">'Export-dataset'!AJ13</f>
        <v>1050</v>
      </c>
    </row>
    <row r="352" customFormat="false" ht="15" hidden="false" customHeight="false" outlineLevel="0" collapsed="false">
      <c r="A352" s="0" t="s">
        <v>61</v>
      </c>
      <c r="B352" s="0" t="n">
        <v>2016</v>
      </c>
      <c r="C352" s="0" t="s">
        <v>387</v>
      </c>
      <c r="D352" s="0" t="s">
        <v>319</v>
      </c>
      <c r="E352" s="0" t="s">
        <v>388</v>
      </c>
      <c r="F352" s="0" t="s">
        <v>141</v>
      </c>
      <c r="G352" s="0" t="s">
        <v>178</v>
      </c>
      <c r="H352" s="6" t="n">
        <f aca="false">'Export-dataset'!AK4</f>
        <v>847</v>
      </c>
    </row>
    <row r="353" customFormat="false" ht="15" hidden="false" customHeight="false" outlineLevel="0" collapsed="false">
      <c r="A353" s="0" t="s">
        <v>61</v>
      </c>
      <c r="B353" s="0" t="n">
        <v>2017</v>
      </c>
      <c r="C353" s="0" t="s">
        <v>387</v>
      </c>
      <c r="D353" s="0" t="s">
        <v>319</v>
      </c>
      <c r="E353" s="0" t="s">
        <v>388</v>
      </c>
      <c r="F353" s="0" t="s">
        <v>141</v>
      </c>
      <c r="G353" s="0" t="s">
        <v>178</v>
      </c>
      <c r="H353" s="6" t="n">
        <f aca="false">'Export-dataset'!AK5</f>
        <v>959</v>
      </c>
    </row>
    <row r="354" customFormat="false" ht="15" hidden="false" customHeight="false" outlineLevel="0" collapsed="false">
      <c r="A354" s="0" t="s">
        <v>61</v>
      </c>
      <c r="B354" s="0" t="n">
        <v>2018</v>
      </c>
      <c r="C354" s="0" t="s">
        <v>387</v>
      </c>
      <c r="D354" s="0" t="s">
        <v>319</v>
      </c>
      <c r="E354" s="0" t="s">
        <v>388</v>
      </c>
      <c r="F354" s="0" t="s">
        <v>141</v>
      </c>
      <c r="G354" s="0" t="s">
        <v>178</v>
      </c>
      <c r="H354" s="6" t="n">
        <f aca="false">'Export-dataset'!AK6</f>
        <v>1029</v>
      </c>
    </row>
    <row r="355" customFormat="false" ht="15" hidden="false" customHeight="false" outlineLevel="0" collapsed="false">
      <c r="A355" s="0" t="s">
        <v>61</v>
      </c>
      <c r="B355" s="0" t="n">
        <v>2019</v>
      </c>
      <c r="C355" s="0" t="s">
        <v>387</v>
      </c>
      <c r="D355" s="0" t="s">
        <v>319</v>
      </c>
      <c r="E355" s="0" t="s">
        <v>388</v>
      </c>
      <c r="F355" s="0" t="s">
        <v>141</v>
      </c>
      <c r="G355" s="0" t="s">
        <v>178</v>
      </c>
      <c r="H355" s="6" t="n">
        <f aca="false">'Export-dataset'!AK7</f>
        <v>1008</v>
      </c>
    </row>
    <row r="356" customFormat="false" ht="15" hidden="false" customHeight="false" outlineLevel="0" collapsed="false">
      <c r="A356" s="0" t="s">
        <v>61</v>
      </c>
      <c r="B356" s="0" t="n">
        <v>2020</v>
      </c>
      <c r="C356" s="0" t="s">
        <v>387</v>
      </c>
      <c r="D356" s="0" t="s">
        <v>319</v>
      </c>
      <c r="E356" s="0" t="s">
        <v>388</v>
      </c>
      <c r="F356" s="0" t="s">
        <v>141</v>
      </c>
      <c r="G356" s="0" t="s">
        <v>178</v>
      </c>
      <c r="H356" s="6" t="n">
        <f aca="false">'Export-dataset'!AK8</f>
        <v>894</v>
      </c>
    </row>
    <row r="357" customFormat="false" ht="15" hidden="false" customHeight="false" outlineLevel="0" collapsed="false">
      <c r="A357" s="0" t="s">
        <v>61</v>
      </c>
      <c r="B357" s="0" t="n">
        <v>2021</v>
      </c>
      <c r="C357" s="0" t="s">
        <v>387</v>
      </c>
      <c r="D357" s="0" t="s">
        <v>319</v>
      </c>
      <c r="E357" s="0" t="s">
        <v>388</v>
      </c>
      <c r="F357" s="0" t="s">
        <v>141</v>
      </c>
      <c r="G357" s="0" t="s">
        <v>178</v>
      </c>
      <c r="H357" s="6" t="n">
        <f aca="false">'Export-dataset'!AK9</f>
        <v>1036</v>
      </c>
    </row>
    <row r="358" customFormat="false" ht="15" hidden="false" customHeight="false" outlineLevel="0" collapsed="false">
      <c r="A358" s="0" t="s">
        <v>61</v>
      </c>
      <c r="B358" s="0" t="n">
        <v>2022</v>
      </c>
      <c r="C358" s="0" t="s">
        <v>387</v>
      </c>
      <c r="D358" s="0" t="s">
        <v>319</v>
      </c>
      <c r="E358" s="0" t="s">
        <v>388</v>
      </c>
      <c r="F358" s="0" t="s">
        <v>141</v>
      </c>
      <c r="G358" s="0" t="s">
        <v>178</v>
      </c>
      <c r="H358" s="6" t="n">
        <f aca="false">'Export-dataset'!AK10</f>
        <v>1068</v>
      </c>
    </row>
    <row r="359" customFormat="false" ht="15" hidden="false" customHeight="false" outlineLevel="0" collapsed="false">
      <c r="A359" s="0" t="s">
        <v>61</v>
      </c>
      <c r="B359" s="0" t="n">
        <v>2023</v>
      </c>
      <c r="C359" s="0" t="s">
        <v>387</v>
      </c>
      <c r="D359" s="0" t="s">
        <v>319</v>
      </c>
      <c r="E359" s="0" t="s">
        <v>388</v>
      </c>
      <c r="F359" s="0" t="s">
        <v>141</v>
      </c>
      <c r="G359" s="0" t="s">
        <v>178</v>
      </c>
      <c r="H359" s="6" t="n">
        <f aca="false">'Export-dataset'!AK11</f>
        <v>920</v>
      </c>
    </row>
    <row r="360" customFormat="false" ht="15" hidden="false" customHeight="false" outlineLevel="0" collapsed="false">
      <c r="A360" s="0" t="s">
        <v>61</v>
      </c>
      <c r="B360" s="0" t="n">
        <v>2024</v>
      </c>
      <c r="C360" s="0" t="s">
        <v>387</v>
      </c>
      <c r="D360" s="0" t="s">
        <v>319</v>
      </c>
      <c r="E360" s="0" t="s">
        <v>388</v>
      </c>
      <c r="F360" s="0" t="s">
        <v>141</v>
      </c>
      <c r="G360" s="0" t="s">
        <v>178</v>
      </c>
      <c r="H360" s="6" t="n">
        <f aca="false">'Export-dataset'!AK12</f>
        <v>1162</v>
      </c>
    </row>
    <row r="361" customFormat="false" ht="15" hidden="false" customHeight="false" outlineLevel="0" collapsed="false">
      <c r="A361" s="0" t="s">
        <v>61</v>
      </c>
      <c r="B361" s="0" t="n">
        <v>2025</v>
      </c>
      <c r="C361" s="0" t="s">
        <v>387</v>
      </c>
      <c r="D361" s="0" t="s">
        <v>319</v>
      </c>
      <c r="E361" s="0" t="s">
        <v>388</v>
      </c>
      <c r="F361" s="0" t="s">
        <v>141</v>
      </c>
      <c r="G361" s="0" t="s">
        <v>178</v>
      </c>
      <c r="H361" s="6" t="n">
        <f aca="false">'Export-dataset'!AK13</f>
        <v>1053</v>
      </c>
    </row>
    <row r="362" customFormat="false" ht="15" hidden="false" customHeight="false" outlineLevel="0" collapsed="false">
      <c r="A362" s="0" t="s">
        <v>61</v>
      </c>
      <c r="B362" s="0" t="n">
        <v>2016</v>
      </c>
      <c r="C362" s="0" t="s">
        <v>389</v>
      </c>
      <c r="D362" s="0" t="s">
        <v>319</v>
      </c>
      <c r="E362" s="0" t="s">
        <v>390</v>
      </c>
      <c r="F362" s="0" t="s">
        <v>141</v>
      </c>
      <c r="G362" s="0" t="s">
        <v>179</v>
      </c>
      <c r="H362" s="6" t="n">
        <f aca="false">'Export-dataset'!AL4</f>
        <v>3486</v>
      </c>
    </row>
    <row r="363" customFormat="false" ht="15" hidden="false" customHeight="false" outlineLevel="0" collapsed="false">
      <c r="A363" s="0" t="s">
        <v>61</v>
      </c>
      <c r="B363" s="0" t="n">
        <v>2017</v>
      </c>
      <c r="C363" s="0" t="s">
        <v>389</v>
      </c>
      <c r="D363" s="0" t="s">
        <v>319</v>
      </c>
      <c r="E363" s="0" t="s">
        <v>390</v>
      </c>
      <c r="F363" s="0" t="s">
        <v>141</v>
      </c>
      <c r="G363" s="0" t="s">
        <v>179</v>
      </c>
      <c r="H363" s="6" t="n">
        <f aca="false">'Export-dataset'!AL5</f>
        <v>3478</v>
      </c>
    </row>
    <row r="364" customFormat="false" ht="15" hidden="false" customHeight="false" outlineLevel="0" collapsed="false">
      <c r="A364" s="0" t="s">
        <v>61</v>
      </c>
      <c r="B364" s="0" t="n">
        <v>2018</v>
      </c>
      <c r="C364" s="0" t="s">
        <v>389</v>
      </c>
      <c r="D364" s="0" t="s">
        <v>319</v>
      </c>
      <c r="E364" s="0" t="s">
        <v>390</v>
      </c>
      <c r="F364" s="0" t="s">
        <v>141</v>
      </c>
      <c r="G364" s="0" t="s">
        <v>179</v>
      </c>
      <c r="H364" s="6" t="n">
        <f aca="false">'Export-dataset'!AL6</f>
        <v>4750</v>
      </c>
    </row>
    <row r="365" customFormat="false" ht="15" hidden="false" customHeight="false" outlineLevel="0" collapsed="false">
      <c r="A365" s="0" t="s">
        <v>61</v>
      </c>
      <c r="B365" s="0" t="n">
        <v>2019</v>
      </c>
      <c r="C365" s="0" t="s">
        <v>389</v>
      </c>
      <c r="D365" s="0" t="s">
        <v>319</v>
      </c>
      <c r="E365" s="0" t="s">
        <v>390</v>
      </c>
      <c r="F365" s="0" t="s">
        <v>141</v>
      </c>
      <c r="G365" s="0" t="s">
        <v>179</v>
      </c>
      <c r="H365" s="6" t="n">
        <f aca="false">'Export-dataset'!AL7</f>
        <v>6249</v>
      </c>
    </row>
    <row r="366" customFormat="false" ht="15" hidden="false" customHeight="false" outlineLevel="0" collapsed="false">
      <c r="A366" s="0" t="s">
        <v>61</v>
      </c>
      <c r="B366" s="0" t="n">
        <v>2020</v>
      </c>
      <c r="C366" s="0" t="s">
        <v>389</v>
      </c>
      <c r="D366" s="0" t="s">
        <v>319</v>
      </c>
      <c r="E366" s="0" t="s">
        <v>390</v>
      </c>
      <c r="F366" s="0" t="s">
        <v>141</v>
      </c>
      <c r="G366" s="0" t="s">
        <v>179</v>
      </c>
      <c r="H366" s="6" t="n">
        <f aca="false">'Export-dataset'!AL8</f>
        <v>5547</v>
      </c>
    </row>
    <row r="367" customFormat="false" ht="15" hidden="false" customHeight="false" outlineLevel="0" collapsed="false">
      <c r="A367" s="0" t="s">
        <v>61</v>
      </c>
      <c r="B367" s="0" t="n">
        <v>2021</v>
      </c>
      <c r="C367" s="0" t="s">
        <v>389</v>
      </c>
      <c r="D367" s="0" t="s">
        <v>319</v>
      </c>
      <c r="E367" s="0" t="s">
        <v>390</v>
      </c>
      <c r="F367" s="0" t="s">
        <v>141</v>
      </c>
      <c r="G367" s="0" t="s">
        <v>179</v>
      </c>
      <c r="H367" s="6" t="n">
        <f aca="false">'Export-dataset'!AL9</f>
        <v>3630</v>
      </c>
    </row>
    <row r="368" customFormat="false" ht="15" hidden="false" customHeight="false" outlineLevel="0" collapsed="false">
      <c r="A368" s="0" t="s">
        <v>61</v>
      </c>
      <c r="B368" s="0" t="n">
        <v>2022</v>
      </c>
      <c r="C368" s="0" t="s">
        <v>389</v>
      </c>
      <c r="D368" s="0" t="s">
        <v>319</v>
      </c>
      <c r="E368" s="0" t="s">
        <v>390</v>
      </c>
      <c r="F368" s="0" t="s">
        <v>141</v>
      </c>
      <c r="G368" s="0" t="s">
        <v>179</v>
      </c>
      <c r="H368" s="6" t="n">
        <f aca="false">'Export-dataset'!AL10</f>
        <v>4328</v>
      </c>
    </row>
    <row r="369" customFormat="false" ht="15" hidden="false" customHeight="false" outlineLevel="0" collapsed="false">
      <c r="A369" s="0" t="s">
        <v>61</v>
      </c>
      <c r="B369" s="0" t="n">
        <v>2023</v>
      </c>
      <c r="C369" s="0" t="s">
        <v>389</v>
      </c>
      <c r="D369" s="0" t="s">
        <v>319</v>
      </c>
      <c r="E369" s="0" t="s">
        <v>390</v>
      </c>
      <c r="F369" s="0" t="s">
        <v>141</v>
      </c>
      <c r="G369" s="0" t="s">
        <v>179</v>
      </c>
      <c r="H369" s="6" t="n">
        <f aca="false">'Export-dataset'!AL11</f>
        <v>4754</v>
      </c>
    </row>
    <row r="370" customFormat="false" ht="15" hidden="false" customHeight="false" outlineLevel="0" collapsed="false">
      <c r="A370" s="0" t="s">
        <v>61</v>
      </c>
      <c r="B370" s="0" t="n">
        <v>2024</v>
      </c>
      <c r="C370" s="0" t="s">
        <v>389</v>
      </c>
      <c r="D370" s="0" t="s">
        <v>319</v>
      </c>
      <c r="E370" s="0" t="s">
        <v>390</v>
      </c>
      <c r="F370" s="0" t="s">
        <v>141</v>
      </c>
      <c r="G370" s="0" t="s">
        <v>179</v>
      </c>
      <c r="H370" s="6" t="n">
        <f aca="false">'Export-dataset'!AL12</f>
        <v>5387</v>
      </c>
    </row>
    <row r="371" customFormat="false" ht="15" hidden="false" customHeight="false" outlineLevel="0" collapsed="false">
      <c r="A371" s="0" t="s">
        <v>61</v>
      </c>
      <c r="B371" s="0" t="n">
        <v>2025</v>
      </c>
      <c r="C371" s="0" t="s">
        <v>389</v>
      </c>
      <c r="D371" s="0" t="s">
        <v>319</v>
      </c>
      <c r="E371" s="0" t="s">
        <v>390</v>
      </c>
      <c r="F371" s="0" t="s">
        <v>141</v>
      </c>
      <c r="G371" s="0" t="s">
        <v>179</v>
      </c>
      <c r="H371" s="6" t="n">
        <f aca="false">'Export-dataset'!AL13</f>
        <v>5138</v>
      </c>
    </row>
    <row r="372" customFormat="false" ht="15" hidden="false" customHeight="false" outlineLevel="0" collapsed="false">
      <c r="A372" s="0" t="s">
        <v>61</v>
      </c>
      <c r="B372" s="0" t="n">
        <v>2016</v>
      </c>
      <c r="C372" s="0" t="s">
        <v>391</v>
      </c>
      <c r="D372" s="0" t="s">
        <v>319</v>
      </c>
      <c r="E372" s="0" t="s">
        <v>392</v>
      </c>
      <c r="F372" s="0" t="s">
        <v>141</v>
      </c>
      <c r="G372" s="0" t="s">
        <v>180</v>
      </c>
      <c r="H372" s="6" t="n">
        <f aca="false">'Export-dataset'!AM4</f>
        <v>985</v>
      </c>
    </row>
    <row r="373" customFormat="false" ht="15" hidden="false" customHeight="false" outlineLevel="0" collapsed="false">
      <c r="A373" s="0" t="s">
        <v>61</v>
      </c>
      <c r="B373" s="0" t="n">
        <v>2017</v>
      </c>
      <c r="C373" s="0" t="s">
        <v>391</v>
      </c>
      <c r="D373" s="0" t="s">
        <v>319</v>
      </c>
      <c r="E373" s="0" t="s">
        <v>392</v>
      </c>
      <c r="F373" s="0" t="s">
        <v>141</v>
      </c>
      <c r="G373" s="0" t="s">
        <v>180</v>
      </c>
      <c r="H373" s="6" t="n">
        <f aca="false">'Export-dataset'!AM5</f>
        <v>1180</v>
      </c>
    </row>
    <row r="374" customFormat="false" ht="15" hidden="false" customHeight="false" outlineLevel="0" collapsed="false">
      <c r="A374" s="0" t="s">
        <v>61</v>
      </c>
      <c r="B374" s="0" t="n">
        <v>2018</v>
      </c>
      <c r="C374" s="0" t="s">
        <v>391</v>
      </c>
      <c r="D374" s="0" t="s">
        <v>319</v>
      </c>
      <c r="E374" s="0" t="s">
        <v>392</v>
      </c>
      <c r="F374" s="0" t="s">
        <v>141</v>
      </c>
      <c r="G374" s="0" t="s">
        <v>180</v>
      </c>
      <c r="H374" s="6" t="n">
        <f aca="false">'Export-dataset'!AM6</f>
        <v>1346</v>
      </c>
    </row>
    <row r="375" customFormat="false" ht="15" hidden="false" customHeight="false" outlineLevel="0" collapsed="false">
      <c r="A375" s="0" t="s">
        <v>61</v>
      </c>
      <c r="B375" s="0" t="n">
        <v>2019</v>
      </c>
      <c r="C375" s="0" t="s">
        <v>391</v>
      </c>
      <c r="D375" s="0" t="s">
        <v>319</v>
      </c>
      <c r="E375" s="0" t="s">
        <v>392</v>
      </c>
      <c r="F375" s="0" t="s">
        <v>141</v>
      </c>
      <c r="G375" s="0" t="s">
        <v>180</v>
      </c>
      <c r="H375" s="6" t="n">
        <f aca="false">'Export-dataset'!AM7</f>
        <v>1532</v>
      </c>
    </row>
    <row r="376" customFormat="false" ht="15" hidden="false" customHeight="false" outlineLevel="0" collapsed="false">
      <c r="A376" s="0" t="s">
        <v>61</v>
      </c>
      <c r="B376" s="0" t="n">
        <v>2020</v>
      </c>
      <c r="C376" s="0" t="s">
        <v>391</v>
      </c>
      <c r="D376" s="0" t="s">
        <v>319</v>
      </c>
      <c r="E376" s="0" t="s">
        <v>392</v>
      </c>
      <c r="F376" s="0" t="s">
        <v>141</v>
      </c>
      <c r="G376" s="0" t="s">
        <v>180</v>
      </c>
      <c r="H376" s="6" t="n">
        <f aca="false">'Export-dataset'!AM8</f>
        <v>1590</v>
      </c>
    </row>
    <row r="377" customFormat="false" ht="15" hidden="false" customHeight="false" outlineLevel="0" collapsed="false">
      <c r="A377" s="0" t="s">
        <v>61</v>
      </c>
      <c r="B377" s="0" t="n">
        <v>2021</v>
      </c>
      <c r="C377" s="0" t="s">
        <v>391</v>
      </c>
      <c r="D377" s="0" t="s">
        <v>319</v>
      </c>
      <c r="E377" s="0" t="s">
        <v>392</v>
      </c>
      <c r="F377" s="0" t="s">
        <v>141</v>
      </c>
      <c r="G377" s="0" t="s">
        <v>180</v>
      </c>
      <c r="H377" s="6" t="n">
        <f aca="false">'Export-dataset'!AM9</f>
        <v>1663</v>
      </c>
    </row>
    <row r="378" customFormat="false" ht="15" hidden="false" customHeight="false" outlineLevel="0" collapsed="false">
      <c r="A378" s="0" t="s">
        <v>61</v>
      </c>
      <c r="B378" s="0" t="n">
        <v>2022</v>
      </c>
      <c r="C378" s="0" t="s">
        <v>391</v>
      </c>
      <c r="D378" s="0" t="s">
        <v>319</v>
      </c>
      <c r="E378" s="0" t="s">
        <v>392</v>
      </c>
      <c r="F378" s="0" t="s">
        <v>141</v>
      </c>
      <c r="G378" s="0" t="s">
        <v>180</v>
      </c>
      <c r="H378" s="6" t="n">
        <f aca="false">'Export-dataset'!AM10</f>
        <v>1768</v>
      </c>
    </row>
    <row r="379" customFormat="false" ht="15" hidden="false" customHeight="false" outlineLevel="0" collapsed="false">
      <c r="A379" s="0" t="s">
        <v>61</v>
      </c>
      <c r="B379" s="0" t="n">
        <v>2023</v>
      </c>
      <c r="C379" s="0" t="s">
        <v>391</v>
      </c>
      <c r="D379" s="0" t="s">
        <v>319</v>
      </c>
      <c r="E379" s="0" t="s">
        <v>392</v>
      </c>
      <c r="F379" s="0" t="s">
        <v>141</v>
      </c>
      <c r="G379" s="0" t="s">
        <v>180</v>
      </c>
      <c r="H379" s="6" t="n">
        <f aca="false">'Export-dataset'!AM11</f>
        <v>1686</v>
      </c>
    </row>
    <row r="380" customFormat="false" ht="15" hidden="false" customHeight="false" outlineLevel="0" collapsed="false">
      <c r="A380" s="0" t="s">
        <v>61</v>
      </c>
      <c r="B380" s="0" t="n">
        <v>2024</v>
      </c>
      <c r="C380" s="0" t="s">
        <v>391</v>
      </c>
      <c r="D380" s="0" t="s">
        <v>319</v>
      </c>
      <c r="E380" s="0" t="s">
        <v>392</v>
      </c>
      <c r="F380" s="0" t="s">
        <v>141</v>
      </c>
      <c r="G380" s="0" t="s">
        <v>180</v>
      </c>
      <c r="H380" s="6" t="n">
        <f aca="false">'Export-dataset'!AM12</f>
        <v>1705</v>
      </c>
    </row>
    <row r="381" customFormat="false" ht="15" hidden="false" customHeight="false" outlineLevel="0" collapsed="false">
      <c r="A381" s="0" t="s">
        <v>61</v>
      </c>
      <c r="B381" s="0" t="n">
        <v>2025</v>
      </c>
      <c r="C381" s="0" t="s">
        <v>391</v>
      </c>
      <c r="D381" s="0" t="s">
        <v>319</v>
      </c>
      <c r="E381" s="0" t="s">
        <v>392</v>
      </c>
      <c r="F381" s="0" t="s">
        <v>141</v>
      </c>
      <c r="G381" s="0" t="s">
        <v>180</v>
      </c>
      <c r="H381" s="6" t="n">
        <f aca="false">'Export-dataset'!AM13</f>
        <v>1615</v>
      </c>
    </row>
    <row r="382" customFormat="false" ht="15" hidden="false" customHeight="false" outlineLevel="0" collapsed="false">
      <c r="A382" s="0" t="s">
        <v>61</v>
      </c>
      <c r="B382" s="0" t="n">
        <v>2016</v>
      </c>
      <c r="C382" s="0" t="s">
        <v>393</v>
      </c>
      <c r="D382" s="0" t="s">
        <v>319</v>
      </c>
      <c r="E382" s="0" t="s">
        <v>394</v>
      </c>
      <c r="F382" s="0" t="s">
        <v>141</v>
      </c>
      <c r="G382" s="0" t="s">
        <v>181</v>
      </c>
      <c r="H382" s="6" t="n">
        <f aca="false">'Export-dataset'!AN4</f>
        <v>369</v>
      </c>
    </row>
    <row r="383" customFormat="false" ht="15" hidden="false" customHeight="false" outlineLevel="0" collapsed="false">
      <c r="A383" s="0" t="s">
        <v>61</v>
      </c>
      <c r="B383" s="0" t="n">
        <v>2017</v>
      </c>
      <c r="C383" s="0" t="s">
        <v>393</v>
      </c>
      <c r="D383" s="0" t="s">
        <v>319</v>
      </c>
      <c r="E383" s="0" t="s">
        <v>394</v>
      </c>
      <c r="F383" s="0" t="s">
        <v>141</v>
      </c>
      <c r="G383" s="0" t="s">
        <v>181</v>
      </c>
      <c r="H383" s="6" t="n">
        <f aca="false">'Export-dataset'!AN5</f>
        <v>265</v>
      </c>
    </row>
    <row r="384" customFormat="false" ht="15" hidden="false" customHeight="false" outlineLevel="0" collapsed="false">
      <c r="A384" s="0" t="s">
        <v>61</v>
      </c>
      <c r="B384" s="0" t="n">
        <v>2018</v>
      </c>
      <c r="C384" s="0" t="s">
        <v>393</v>
      </c>
      <c r="D384" s="0" t="s">
        <v>319</v>
      </c>
      <c r="E384" s="0" t="s">
        <v>394</v>
      </c>
      <c r="F384" s="0" t="s">
        <v>141</v>
      </c>
      <c r="G384" s="0" t="s">
        <v>181</v>
      </c>
      <c r="H384" s="6" t="n">
        <f aca="false">'Export-dataset'!AN6</f>
        <v>320</v>
      </c>
    </row>
    <row r="385" customFormat="false" ht="15" hidden="false" customHeight="false" outlineLevel="0" collapsed="false">
      <c r="A385" s="0" t="s">
        <v>61</v>
      </c>
      <c r="B385" s="0" t="n">
        <v>2019</v>
      </c>
      <c r="C385" s="0" t="s">
        <v>393</v>
      </c>
      <c r="D385" s="0" t="s">
        <v>319</v>
      </c>
      <c r="E385" s="0" t="s">
        <v>394</v>
      </c>
      <c r="F385" s="0" t="s">
        <v>141</v>
      </c>
      <c r="G385" s="0" t="s">
        <v>181</v>
      </c>
      <c r="H385" s="6" t="n">
        <f aca="false">'Export-dataset'!AN7</f>
        <v>262</v>
      </c>
    </row>
    <row r="386" customFormat="false" ht="15" hidden="false" customHeight="false" outlineLevel="0" collapsed="false">
      <c r="A386" s="0" t="s">
        <v>61</v>
      </c>
      <c r="B386" s="0" t="n">
        <v>2020</v>
      </c>
      <c r="C386" s="0" t="s">
        <v>393</v>
      </c>
      <c r="D386" s="0" t="s">
        <v>319</v>
      </c>
      <c r="E386" s="0" t="s">
        <v>394</v>
      </c>
      <c r="F386" s="0" t="s">
        <v>141</v>
      </c>
      <c r="G386" s="0" t="s">
        <v>181</v>
      </c>
      <c r="H386" s="6" t="n">
        <f aca="false">'Export-dataset'!AN8</f>
        <v>330</v>
      </c>
    </row>
    <row r="387" customFormat="false" ht="15" hidden="false" customHeight="false" outlineLevel="0" collapsed="false">
      <c r="A387" s="0" t="s">
        <v>61</v>
      </c>
      <c r="B387" s="0" t="n">
        <v>2021</v>
      </c>
      <c r="C387" s="0" t="s">
        <v>393</v>
      </c>
      <c r="D387" s="0" t="s">
        <v>319</v>
      </c>
      <c r="E387" s="0" t="s">
        <v>394</v>
      </c>
      <c r="F387" s="0" t="s">
        <v>141</v>
      </c>
      <c r="G387" s="0" t="s">
        <v>181</v>
      </c>
      <c r="H387" s="6" t="n">
        <f aca="false">'Export-dataset'!AN9</f>
        <v>490</v>
      </c>
    </row>
    <row r="388" customFormat="false" ht="15" hidden="false" customHeight="false" outlineLevel="0" collapsed="false">
      <c r="A388" s="0" t="s">
        <v>61</v>
      </c>
      <c r="B388" s="0" t="n">
        <v>2022</v>
      </c>
      <c r="C388" s="0" t="s">
        <v>393</v>
      </c>
      <c r="D388" s="0" t="s">
        <v>319</v>
      </c>
      <c r="E388" s="0" t="s">
        <v>394</v>
      </c>
      <c r="F388" s="0" t="s">
        <v>141</v>
      </c>
      <c r="G388" s="0" t="s">
        <v>181</v>
      </c>
      <c r="H388" s="6" t="n">
        <f aca="false">'Export-dataset'!AN10</f>
        <v>731</v>
      </c>
    </row>
    <row r="389" customFormat="false" ht="15" hidden="false" customHeight="false" outlineLevel="0" collapsed="false">
      <c r="A389" s="0" t="s">
        <v>61</v>
      </c>
      <c r="B389" s="0" t="n">
        <v>2023</v>
      </c>
      <c r="C389" s="0" t="s">
        <v>393</v>
      </c>
      <c r="D389" s="0" t="s">
        <v>319</v>
      </c>
      <c r="E389" s="0" t="s">
        <v>394</v>
      </c>
      <c r="F389" s="0" t="s">
        <v>141</v>
      </c>
      <c r="G389" s="0" t="s">
        <v>181</v>
      </c>
      <c r="H389" s="6" t="n">
        <f aca="false">'Export-dataset'!AN11</f>
        <v>338</v>
      </c>
    </row>
    <row r="390" customFormat="false" ht="15" hidden="false" customHeight="false" outlineLevel="0" collapsed="false">
      <c r="A390" s="0" t="s">
        <v>61</v>
      </c>
      <c r="B390" s="0" t="n">
        <v>2024</v>
      </c>
      <c r="C390" s="0" t="s">
        <v>393</v>
      </c>
      <c r="D390" s="0" t="s">
        <v>319</v>
      </c>
      <c r="E390" s="0" t="s">
        <v>394</v>
      </c>
      <c r="F390" s="0" t="s">
        <v>141</v>
      </c>
      <c r="G390" s="0" t="s">
        <v>181</v>
      </c>
      <c r="H390" s="6" t="n">
        <f aca="false">'Export-dataset'!AN12</f>
        <v>437</v>
      </c>
    </row>
    <row r="391" customFormat="false" ht="15" hidden="false" customHeight="false" outlineLevel="0" collapsed="false">
      <c r="A391" s="0" t="s">
        <v>61</v>
      </c>
      <c r="B391" s="0" t="n">
        <v>2025</v>
      </c>
      <c r="C391" s="0" t="s">
        <v>393</v>
      </c>
      <c r="D391" s="0" t="s">
        <v>319</v>
      </c>
      <c r="E391" s="0" t="s">
        <v>394</v>
      </c>
      <c r="F391" s="0" t="s">
        <v>141</v>
      </c>
      <c r="G391" s="0" t="s">
        <v>181</v>
      </c>
      <c r="H391" s="6" t="n">
        <f aca="false">'Export-dataset'!AN13</f>
        <v>666</v>
      </c>
    </row>
    <row r="392" customFormat="false" ht="15" hidden="false" customHeight="false" outlineLevel="0" collapsed="false">
      <c r="A392" s="0" t="s">
        <v>61</v>
      </c>
      <c r="B392" s="0" t="n">
        <v>2016</v>
      </c>
      <c r="C392" s="0" t="s">
        <v>395</v>
      </c>
      <c r="D392" s="0" t="s">
        <v>319</v>
      </c>
      <c r="E392" s="0" t="s">
        <v>396</v>
      </c>
      <c r="F392" s="0" t="s">
        <v>141</v>
      </c>
      <c r="G392" s="0" t="s">
        <v>182</v>
      </c>
      <c r="H392" s="6" t="n">
        <f aca="false">'Export-dataset'!AO4</f>
        <v>315</v>
      </c>
    </row>
    <row r="393" customFormat="false" ht="15" hidden="false" customHeight="false" outlineLevel="0" collapsed="false">
      <c r="A393" s="0" t="s">
        <v>61</v>
      </c>
      <c r="B393" s="0" t="n">
        <v>2017</v>
      </c>
      <c r="C393" s="0" t="s">
        <v>395</v>
      </c>
      <c r="D393" s="0" t="s">
        <v>319</v>
      </c>
      <c r="E393" s="0" t="s">
        <v>396</v>
      </c>
      <c r="F393" s="0" t="s">
        <v>141</v>
      </c>
      <c r="G393" s="0" t="s">
        <v>182</v>
      </c>
      <c r="H393" s="6" t="n">
        <f aca="false">'Export-dataset'!AO5</f>
        <v>339</v>
      </c>
    </row>
    <row r="394" customFormat="false" ht="15" hidden="false" customHeight="false" outlineLevel="0" collapsed="false">
      <c r="A394" s="0" t="s">
        <v>61</v>
      </c>
      <c r="B394" s="0" t="n">
        <v>2018</v>
      </c>
      <c r="C394" s="0" t="s">
        <v>395</v>
      </c>
      <c r="D394" s="0" t="s">
        <v>319</v>
      </c>
      <c r="E394" s="0" t="s">
        <v>396</v>
      </c>
      <c r="F394" s="0" t="s">
        <v>141</v>
      </c>
      <c r="G394" s="0" t="s">
        <v>182</v>
      </c>
      <c r="H394" s="6" t="n">
        <f aca="false">'Export-dataset'!AO6</f>
        <v>298</v>
      </c>
    </row>
    <row r="395" customFormat="false" ht="15" hidden="false" customHeight="false" outlineLevel="0" collapsed="false">
      <c r="A395" s="0" t="s">
        <v>61</v>
      </c>
      <c r="B395" s="0" t="n">
        <v>2019</v>
      </c>
      <c r="C395" s="0" t="s">
        <v>395</v>
      </c>
      <c r="D395" s="0" t="s">
        <v>319</v>
      </c>
      <c r="E395" s="0" t="s">
        <v>396</v>
      </c>
      <c r="F395" s="0" t="s">
        <v>141</v>
      </c>
      <c r="G395" s="0" t="s">
        <v>182</v>
      </c>
      <c r="H395" s="6" t="n">
        <f aca="false">'Export-dataset'!AO7</f>
        <v>328</v>
      </c>
    </row>
    <row r="396" customFormat="false" ht="15" hidden="false" customHeight="false" outlineLevel="0" collapsed="false">
      <c r="A396" s="0" t="s">
        <v>61</v>
      </c>
      <c r="B396" s="0" t="n">
        <v>2020</v>
      </c>
      <c r="C396" s="0" t="s">
        <v>395</v>
      </c>
      <c r="D396" s="0" t="s">
        <v>319</v>
      </c>
      <c r="E396" s="0" t="s">
        <v>396</v>
      </c>
      <c r="F396" s="0" t="s">
        <v>141</v>
      </c>
      <c r="G396" s="0" t="s">
        <v>182</v>
      </c>
      <c r="H396" s="6" t="n">
        <f aca="false">'Export-dataset'!AO8</f>
        <v>232</v>
      </c>
    </row>
    <row r="397" customFormat="false" ht="15" hidden="false" customHeight="false" outlineLevel="0" collapsed="false">
      <c r="A397" s="0" t="s">
        <v>61</v>
      </c>
      <c r="B397" s="0" t="n">
        <v>2021</v>
      </c>
      <c r="C397" s="0" t="s">
        <v>395</v>
      </c>
      <c r="D397" s="0" t="s">
        <v>319</v>
      </c>
      <c r="E397" s="0" t="s">
        <v>396</v>
      </c>
      <c r="F397" s="0" t="s">
        <v>141</v>
      </c>
      <c r="G397" s="0" t="s">
        <v>182</v>
      </c>
      <c r="H397" s="6" t="n">
        <f aca="false">'Export-dataset'!AO9</f>
        <v>368</v>
      </c>
    </row>
    <row r="398" customFormat="false" ht="15" hidden="false" customHeight="false" outlineLevel="0" collapsed="false">
      <c r="A398" s="0" t="s">
        <v>61</v>
      </c>
      <c r="B398" s="0" t="n">
        <v>2022</v>
      </c>
      <c r="C398" s="0" t="s">
        <v>395</v>
      </c>
      <c r="D398" s="0" t="s">
        <v>319</v>
      </c>
      <c r="E398" s="0" t="s">
        <v>396</v>
      </c>
      <c r="F398" s="0" t="s">
        <v>141</v>
      </c>
      <c r="G398" s="0" t="s">
        <v>182</v>
      </c>
      <c r="H398" s="6" t="n">
        <f aca="false">'Export-dataset'!AO10</f>
        <v>303</v>
      </c>
    </row>
    <row r="399" customFormat="false" ht="15" hidden="false" customHeight="false" outlineLevel="0" collapsed="false">
      <c r="A399" s="0" t="s">
        <v>61</v>
      </c>
      <c r="B399" s="0" t="n">
        <v>2023</v>
      </c>
      <c r="C399" s="0" t="s">
        <v>395</v>
      </c>
      <c r="D399" s="0" t="s">
        <v>319</v>
      </c>
      <c r="E399" s="0" t="s">
        <v>396</v>
      </c>
      <c r="F399" s="0" t="s">
        <v>141</v>
      </c>
      <c r="G399" s="0" t="s">
        <v>182</v>
      </c>
      <c r="H399" s="6" t="n">
        <f aca="false">'Export-dataset'!AO11</f>
        <v>277</v>
      </c>
    </row>
    <row r="400" customFormat="false" ht="15" hidden="false" customHeight="false" outlineLevel="0" collapsed="false">
      <c r="A400" s="0" t="s">
        <v>61</v>
      </c>
      <c r="B400" s="0" t="n">
        <v>2024</v>
      </c>
      <c r="C400" s="0" t="s">
        <v>395</v>
      </c>
      <c r="D400" s="0" t="s">
        <v>319</v>
      </c>
      <c r="E400" s="0" t="s">
        <v>396</v>
      </c>
      <c r="F400" s="0" t="s">
        <v>141</v>
      </c>
      <c r="G400" s="0" t="s">
        <v>182</v>
      </c>
      <c r="H400" s="6" t="n">
        <f aca="false">'Export-dataset'!AO12</f>
        <v>294</v>
      </c>
    </row>
    <row r="401" customFormat="false" ht="15" hidden="false" customHeight="false" outlineLevel="0" collapsed="false">
      <c r="A401" s="0" t="s">
        <v>61</v>
      </c>
      <c r="B401" s="0" t="n">
        <v>2025</v>
      </c>
      <c r="C401" s="0" t="s">
        <v>395</v>
      </c>
      <c r="D401" s="0" t="s">
        <v>319</v>
      </c>
      <c r="E401" s="0" t="s">
        <v>396</v>
      </c>
      <c r="F401" s="0" t="s">
        <v>141</v>
      </c>
      <c r="G401" s="0" t="s">
        <v>182</v>
      </c>
      <c r="H401" s="6" t="n">
        <f aca="false">'Export-dataset'!AO13</f>
        <v>281</v>
      </c>
    </row>
    <row r="402" customFormat="false" ht="15" hidden="false" customHeight="false" outlineLevel="0" collapsed="false">
      <c r="A402" s="0" t="s">
        <v>61</v>
      </c>
      <c r="B402" s="0" t="n">
        <v>2016</v>
      </c>
      <c r="C402" s="0" t="s">
        <v>397</v>
      </c>
      <c r="D402" s="0" t="s">
        <v>319</v>
      </c>
      <c r="E402" s="0" t="s">
        <v>398</v>
      </c>
      <c r="F402" s="0" t="s">
        <v>141</v>
      </c>
      <c r="G402" s="0" t="s">
        <v>183</v>
      </c>
      <c r="H402" s="6" t="n">
        <f aca="false">'Export-dataset'!AP4</f>
        <v>418</v>
      </c>
    </row>
    <row r="403" customFormat="false" ht="15" hidden="false" customHeight="false" outlineLevel="0" collapsed="false">
      <c r="A403" s="0" t="s">
        <v>61</v>
      </c>
      <c r="B403" s="0" t="n">
        <v>2017</v>
      </c>
      <c r="C403" s="0" t="s">
        <v>397</v>
      </c>
      <c r="D403" s="0" t="s">
        <v>319</v>
      </c>
      <c r="E403" s="0" t="s">
        <v>398</v>
      </c>
      <c r="F403" s="0" t="s">
        <v>141</v>
      </c>
      <c r="G403" s="0" t="s">
        <v>183</v>
      </c>
      <c r="H403" s="6" t="n">
        <f aca="false">'Export-dataset'!AP5</f>
        <v>443</v>
      </c>
    </row>
    <row r="404" customFormat="false" ht="15" hidden="false" customHeight="false" outlineLevel="0" collapsed="false">
      <c r="A404" s="0" t="s">
        <v>61</v>
      </c>
      <c r="B404" s="0" t="n">
        <v>2018</v>
      </c>
      <c r="C404" s="0" t="s">
        <v>397</v>
      </c>
      <c r="D404" s="0" t="s">
        <v>319</v>
      </c>
      <c r="E404" s="0" t="s">
        <v>398</v>
      </c>
      <c r="F404" s="0" t="s">
        <v>141</v>
      </c>
      <c r="G404" s="0" t="s">
        <v>183</v>
      </c>
      <c r="H404" s="6" t="n">
        <f aca="false">'Export-dataset'!AP6</f>
        <v>443</v>
      </c>
    </row>
    <row r="405" customFormat="false" ht="15" hidden="false" customHeight="false" outlineLevel="0" collapsed="false">
      <c r="A405" s="0" t="s">
        <v>61</v>
      </c>
      <c r="B405" s="0" t="n">
        <v>2019</v>
      </c>
      <c r="C405" s="0" t="s">
        <v>397</v>
      </c>
      <c r="D405" s="0" t="s">
        <v>319</v>
      </c>
      <c r="E405" s="0" t="s">
        <v>398</v>
      </c>
      <c r="F405" s="0" t="s">
        <v>141</v>
      </c>
      <c r="G405" s="0" t="s">
        <v>183</v>
      </c>
      <c r="H405" s="6" t="n">
        <f aca="false">'Export-dataset'!AP7</f>
        <v>397</v>
      </c>
    </row>
    <row r="406" customFormat="false" ht="15" hidden="false" customHeight="false" outlineLevel="0" collapsed="false">
      <c r="A406" s="0" t="s">
        <v>61</v>
      </c>
      <c r="B406" s="0" t="n">
        <v>2020</v>
      </c>
      <c r="C406" s="0" t="s">
        <v>397</v>
      </c>
      <c r="D406" s="0" t="s">
        <v>319</v>
      </c>
      <c r="E406" s="0" t="s">
        <v>398</v>
      </c>
      <c r="F406" s="0" t="s">
        <v>141</v>
      </c>
      <c r="G406" s="0" t="s">
        <v>183</v>
      </c>
      <c r="H406" s="6" t="n">
        <f aca="false">'Export-dataset'!AP8</f>
        <v>311</v>
      </c>
    </row>
    <row r="407" customFormat="false" ht="15" hidden="false" customHeight="false" outlineLevel="0" collapsed="false">
      <c r="A407" s="0" t="s">
        <v>61</v>
      </c>
      <c r="B407" s="0" t="n">
        <v>2021</v>
      </c>
      <c r="C407" s="0" t="s">
        <v>397</v>
      </c>
      <c r="D407" s="0" t="s">
        <v>319</v>
      </c>
      <c r="E407" s="0" t="s">
        <v>398</v>
      </c>
      <c r="F407" s="0" t="s">
        <v>141</v>
      </c>
      <c r="G407" s="0" t="s">
        <v>183</v>
      </c>
      <c r="H407" s="6" t="n">
        <f aca="false">'Export-dataset'!AP9</f>
        <v>345</v>
      </c>
    </row>
    <row r="408" customFormat="false" ht="15" hidden="false" customHeight="false" outlineLevel="0" collapsed="false">
      <c r="A408" s="0" t="s">
        <v>61</v>
      </c>
      <c r="B408" s="0" t="n">
        <v>2022</v>
      </c>
      <c r="C408" s="0" t="s">
        <v>397</v>
      </c>
      <c r="D408" s="0" t="s">
        <v>319</v>
      </c>
      <c r="E408" s="0" t="s">
        <v>398</v>
      </c>
      <c r="F408" s="0" t="s">
        <v>141</v>
      </c>
      <c r="G408" s="0" t="s">
        <v>183</v>
      </c>
      <c r="H408" s="6" t="n">
        <f aca="false">'Export-dataset'!AP10</f>
        <v>451</v>
      </c>
    </row>
    <row r="409" customFormat="false" ht="15" hidden="false" customHeight="false" outlineLevel="0" collapsed="false">
      <c r="A409" s="0" t="s">
        <v>61</v>
      </c>
      <c r="B409" s="0" t="n">
        <v>2023</v>
      </c>
      <c r="C409" s="0" t="s">
        <v>397</v>
      </c>
      <c r="D409" s="0" t="s">
        <v>319</v>
      </c>
      <c r="E409" s="0" t="s">
        <v>398</v>
      </c>
      <c r="F409" s="0" t="s">
        <v>141</v>
      </c>
      <c r="G409" s="0" t="s">
        <v>183</v>
      </c>
      <c r="H409" s="6" t="n">
        <f aca="false">'Export-dataset'!AP11</f>
        <v>385</v>
      </c>
    </row>
    <row r="410" customFormat="false" ht="15" hidden="false" customHeight="false" outlineLevel="0" collapsed="false">
      <c r="A410" s="0" t="s">
        <v>61</v>
      </c>
      <c r="B410" s="0" t="n">
        <v>2024</v>
      </c>
      <c r="C410" s="0" t="s">
        <v>397</v>
      </c>
      <c r="D410" s="0" t="s">
        <v>319</v>
      </c>
      <c r="E410" s="0" t="s">
        <v>398</v>
      </c>
      <c r="F410" s="0" t="s">
        <v>141</v>
      </c>
      <c r="G410" s="0" t="s">
        <v>183</v>
      </c>
      <c r="H410" s="6" t="n">
        <f aca="false">'Export-dataset'!AP12</f>
        <v>412</v>
      </c>
    </row>
    <row r="411" customFormat="false" ht="15" hidden="false" customHeight="false" outlineLevel="0" collapsed="false">
      <c r="A411" s="0" t="s">
        <v>61</v>
      </c>
      <c r="B411" s="0" t="n">
        <v>2025</v>
      </c>
      <c r="C411" s="0" t="s">
        <v>397</v>
      </c>
      <c r="D411" s="0" t="s">
        <v>319</v>
      </c>
      <c r="E411" s="0" t="s">
        <v>398</v>
      </c>
      <c r="F411" s="0" t="s">
        <v>141</v>
      </c>
      <c r="G411" s="0" t="s">
        <v>183</v>
      </c>
      <c r="H411" s="6" t="n">
        <f aca="false">'Export-dataset'!AP13</f>
        <v>423</v>
      </c>
    </row>
    <row r="412" customFormat="false" ht="15" hidden="false" customHeight="false" outlineLevel="0" collapsed="false">
      <c r="A412" s="0" t="s">
        <v>61</v>
      </c>
      <c r="B412" s="0" t="n">
        <v>2016</v>
      </c>
      <c r="C412" s="0" t="s">
        <v>399</v>
      </c>
      <c r="D412" s="0" t="s">
        <v>319</v>
      </c>
      <c r="E412" s="0" t="s">
        <v>400</v>
      </c>
      <c r="F412" s="0" t="s">
        <v>141</v>
      </c>
      <c r="G412" s="0" t="s">
        <v>184</v>
      </c>
      <c r="H412" s="6" t="n">
        <f aca="false">'Export-dataset'!AQ4</f>
        <v>1065</v>
      </c>
    </row>
    <row r="413" customFormat="false" ht="15" hidden="false" customHeight="false" outlineLevel="0" collapsed="false">
      <c r="A413" s="0" t="s">
        <v>61</v>
      </c>
      <c r="B413" s="0" t="n">
        <v>2017</v>
      </c>
      <c r="C413" s="0" t="s">
        <v>399</v>
      </c>
      <c r="D413" s="0" t="s">
        <v>319</v>
      </c>
      <c r="E413" s="0" t="s">
        <v>400</v>
      </c>
      <c r="F413" s="0" t="s">
        <v>141</v>
      </c>
      <c r="G413" s="0" t="s">
        <v>184</v>
      </c>
      <c r="H413" s="6" t="n">
        <f aca="false">'Export-dataset'!AQ5</f>
        <v>1072</v>
      </c>
    </row>
    <row r="414" customFormat="false" ht="15" hidden="false" customHeight="false" outlineLevel="0" collapsed="false">
      <c r="A414" s="0" t="s">
        <v>61</v>
      </c>
      <c r="B414" s="0" t="n">
        <v>2018</v>
      </c>
      <c r="C414" s="0" t="s">
        <v>399</v>
      </c>
      <c r="D414" s="0" t="s">
        <v>319</v>
      </c>
      <c r="E414" s="0" t="s">
        <v>400</v>
      </c>
      <c r="F414" s="0" t="s">
        <v>141</v>
      </c>
      <c r="G414" s="0" t="s">
        <v>184</v>
      </c>
      <c r="H414" s="6" t="n">
        <f aca="false">'Export-dataset'!AQ6</f>
        <v>1185</v>
      </c>
    </row>
    <row r="415" customFormat="false" ht="15" hidden="false" customHeight="false" outlineLevel="0" collapsed="false">
      <c r="A415" s="0" t="s">
        <v>61</v>
      </c>
      <c r="B415" s="0" t="n">
        <v>2019</v>
      </c>
      <c r="C415" s="0" t="s">
        <v>399</v>
      </c>
      <c r="D415" s="0" t="s">
        <v>319</v>
      </c>
      <c r="E415" s="0" t="s">
        <v>400</v>
      </c>
      <c r="F415" s="0" t="s">
        <v>141</v>
      </c>
      <c r="G415" s="0" t="s">
        <v>184</v>
      </c>
      <c r="H415" s="6" t="n">
        <f aca="false">'Export-dataset'!AQ7</f>
        <v>1225</v>
      </c>
    </row>
    <row r="416" customFormat="false" ht="15" hidden="false" customHeight="false" outlineLevel="0" collapsed="false">
      <c r="A416" s="0" t="s">
        <v>61</v>
      </c>
      <c r="B416" s="0" t="n">
        <v>2020</v>
      </c>
      <c r="C416" s="0" t="s">
        <v>399</v>
      </c>
      <c r="D416" s="0" t="s">
        <v>319</v>
      </c>
      <c r="E416" s="0" t="s">
        <v>400</v>
      </c>
      <c r="F416" s="0" t="s">
        <v>141</v>
      </c>
      <c r="G416" s="0" t="s">
        <v>184</v>
      </c>
      <c r="H416" s="6" t="n">
        <f aca="false">'Export-dataset'!AQ8</f>
        <v>1325</v>
      </c>
    </row>
    <row r="417" customFormat="false" ht="15" hidden="false" customHeight="false" outlineLevel="0" collapsed="false">
      <c r="A417" s="0" t="s">
        <v>61</v>
      </c>
      <c r="B417" s="0" t="n">
        <v>2021</v>
      </c>
      <c r="C417" s="0" t="s">
        <v>399</v>
      </c>
      <c r="D417" s="0" t="s">
        <v>319</v>
      </c>
      <c r="E417" s="0" t="s">
        <v>400</v>
      </c>
      <c r="F417" s="0" t="s">
        <v>141</v>
      </c>
      <c r="G417" s="0" t="s">
        <v>184</v>
      </c>
      <c r="H417" s="6" t="n">
        <f aca="false">'Export-dataset'!AQ9</f>
        <v>1474</v>
      </c>
    </row>
    <row r="418" customFormat="false" ht="15" hidden="false" customHeight="false" outlineLevel="0" collapsed="false">
      <c r="A418" s="0" t="s">
        <v>61</v>
      </c>
      <c r="B418" s="0" t="n">
        <v>2022</v>
      </c>
      <c r="C418" s="0" t="s">
        <v>399</v>
      </c>
      <c r="D418" s="0" t="s">
        <v>319</v>
      </c>
      <c r="E418" s="0" t="s">
        <v>400</v>
      </c>
      <c r="F418" s="0" t="s">
        <v>141</v>
      </c>
      <c r="G418" s="0" t="s">
        <v>184</v>
      </c>
      <c r="H418" s="6" t="n">
        <f aca="false">'Export-dataset'!AQ10</f>
        <v>2007</v>
      </c>
    </row>
    <row r="419" customFormat="false" ht="15" hidden="false" customHeight="false" outlineLevel="0" collapsed="false">
      <c r="A419" s="0" t="s">
        <v>61</v>
      </c>
      <c r="B419" s="0" t="n">
        <v>2023</v>
      </c>
      <c r="C419" s="0" t="s">
        <v>399</v>
      </c>
      <c r="D419" s="0" t="s">
        <v>319</v>
      </c>
      <c r="E419" s="0" t="s">
        <v>400</v>
      </c>
      <c r="F419" s="0" t="s">
        <v>141</v>
      </c>
      <c r="G419" s="0" t="s">
        <v>184</v>
      </c>
      <c r="H419" s="6" t="n">
        <f aca="false">'Export-dataset'!AQ11</f>
        <v>1643</v>
      </c>
    </row>
    <row r="420" customFormat="false" ht="15" hidden="false" customHeight="false" outlineLevel="0" collapsed="false">
      <c r="A420" s="0" t="s">
        <v>61</v>
      </c>
      <c r="B420" s="0" t="n">
        <v>2024</v>
      </c>
      <c r="C420" s="0" t="s">
        <v>399</v>
      </c>
      <c r="D420" s="0" t="s">
        <v>319</v>
      </c>
      <c r="E420" s="0" t="s">
        <v>400</v>
      </c>
      <c r="F420" s="0" t="s">
        <v>141</v>
      </c>
      <c r="G420" s="0" t="s">
        <v>184</v>
      </c>
      <c r="H420" s="6" t="n">
        <f aca="false">'Export-dataset'!AQ12</f>
        <v>1718</v>
      </c>
    </row>
    <row r="421" customFormat="false" ht="15" hidden="false" customHeight="false" outlineLevel="0" collapsed="false">
      <c r="A421" s="0" t="s">
        <v>61</v>
      </c>
      <c r="B421" s="0" t="n">
        <v>2025</v>
      </c>
      <c r="C421" s="0" t="s">
        <v>399</v>
      </c>
      <c r="D421" s="0" t="s">
        <v>319</v>
      </c>
      <c r="E421" s="0" t="s">
        <v>400</v>
      </c>
      <c r="F421" s="0" t="s">
        <v>141</v>
      </c>
      <c r="G421" s="0" t="s">
        <v>184</v>
      </c>
      <c r="H421" s="6" t="n">
        <f aca="false">'Export-dataset'!AQ13</f>
        <v>1661</v>
      </c>
    </row>
    <row r="422" customFormat="false" ht="15" hidden="false" customHeight="false" outlineLevel="0" collapsed="false">
      <c r="A422" s="0" t="s">
        <v>61</v>
      </c>
      <c r="B422" s="0" t="n">
        <v>2016</v>
      </c>
      <c r="C422" s="0" t="s">
        <v>401</v>
      </c>
      <c r="D422" s="0" t="s">
        <v>316</v>
      </c>
      <c r="E422" s="0" t="s">
        <v>402</v>
      </c>
      <c r="F422" s="0" t="s">
        <v>141</v>
      </c>
      <c r="G422" s="0" t="s">
        <v>185</v>
      </c>
      <c r="H422" s="6" t="n">
        <f aca="false">'Export-dataset'!AR4</f>
        <v>13406</v>
      </c>
    </row>
    <row r="423" customFormat="false" ht="15" hidden="false" customHeight="false" outlineLevel="0" collapsed="false">
      <c r="A423" s="0" t="s">
        <v>61</v>
      </c>
      <c r="B423" s="0" t="n">
        <v>2017</v>
      </c>
      <c r="C423" s="0" t="s">
        <v>401</v>
      </c>
      <c r="D423" s="0" t="s">
        <v>316</v>
      </c>
      <c r="E423" s="0" t="s">
        <v>402</v>
      </c>
      <c r="F423" s="0" t="s">
        <v>141</v>
      </c>
      <c r="G423" s="0" t="s">
        <v>185</v>
      </c>
      <c r="H423" s="6" t="n">
        <f aca="false">'Export-dataset'!AR5</f>
        <v>14749</v>
      </c>
    </row>
    <row r="424" customFormat="false" ht="15" hidden="false" customHeight="false" outlineLevel="0" collapsed="false">
      <c r="A424" s="0" t="s">
        <v>61</v>
      </c>
      <c r="B424" s="0" t="n">
        <v>2018</v>
      </c>
      <c r="C424" s="0" t="s">
        <v>401</v>
      </c>
      <c r="D424" s="0" t="s">
        <v>316</v>
      </c>
      <c r="E424" s="0" t="s">
        <v>402</v>
      </c>
      <c r="F424" s="0" t="s">
        <v>141</v>
      </c>
      <c r="G424" s="0" t="s">
        <v>185</v>
      </c>
      <c r="H424" s="6" t="n">
        <f aca="false">'Export-dataset'!AR6</f>
        <v>17031</v>
      </c>
    </row>
    <row r="425" customFormat="false" ht="15" hidden="false" customHeight="false" outlineLevel="0" collapsed="false">
      <c r="A425" s="0" t="s">
        <v>61</v>
      </c>
      <c r="B425" s="0" t="n">
        <v>2019</v>
      </c>
      <c r="C425" s="0" t="s">
        <v>401</v>
      </c>
      <c r="D425" s="0" t="s">
        <v>316</v>
      </c>
      <c r="E425" s="0" t="s">
        <v>402</v>
      </c>
      <c r="F425" s="0" t="s">
        <v>141</v>
      </c>
      <c r="G425" s="0" t="s">
        <v>185</v>
      </c>
      <c r="H425" s="6" t="n">
        <f aca="false">'Export-dataset'!AR7</f>
        <v>17567</v>
      </c>
    </row>
    <row r="426" customFormat="false" ht="15" hidden="false" customHeight="false" outlineLevel="0" collapsed="false">
      <c r="A426" s="0" t="s">
        <v>61</v>
      </c>
      <c r="B426" s="0" t="n">
        <v>2020</v>
      </c>
      <c r="C426" s="0" t="s">
        <v>401</v>
      </c>
      <c r="D426" s="0" t="s">
        <v>316</v>
      </c>
      <c r="E426" s="0" t="s">
        <v>402</v>
      </c>
      <c r="F426" s="0" t="s">
        <v>141</v>
      </c>
      <c r="G426" s="0" t="s">
        <v>185</v>
      </c>
      <c r="H426" s="6" t="n">
        <f aca="false">'Export-dataset'!AR8</f>
        <v>14708</v>
      </c>
    </row>
    <row r="427" customFormat="false" ht="15" hidden="false" customHeight="false" outlineLevel="0" collapsed="false">
      <c r="A427" s="0" t="s">
        <v>61</v>
      </c>
      <c r="B427" s="0" t="n">
        <v>2021</v>
      </c>
      <c r="C427" s="0" t="s">
        <v>401</v>
      </c>
      <c r="D427" s="0" t="s">
        <v>316</v>
      </c>
      <c r="E427" s="0" t="s">
        <v>402</v>
      </c>
      <c r="F427" s="0" t="s">
        <v>141</v>
      </c>
      <c r="G427" s="0" t="s">
        <v>185</v>
      </c>
      <c r="H427" s="6" t="n">
        <f aca="false">'Export-dataset'!AR9</f>
        <v>16703</v>
      </c>
    </row>
    <row r="428" customFormat="false" ht="15" hidden="false" customHeight="false" outlineLevel="0" collapsed="false">
      <c r="A428" s="0" t="s">
        <v>61</v>
      </c>
      <c r="B428" s="0" t="n">
        <v>2022</v>
      </c>
      <c r="C428" s="0" t="s">
        <v>401</v>
      </c>
      <c r="D428" s="0" t="s">
        <v>316</v>
      </c>
      <c r="E428" s="0" t="s">
        <v>402</v>
      </c>
      <c r="F428" s="0" t="s">
        <v>141</v>
      </c>
      <c r="G428" s="0" t="s">
        <v>185</v>
      </c>
      <c r="H428" s="6" t="n">
        <f aca="false">'Export-dataset'!AR10</f>
        <v>19431</v>
      </c>
    </row>
    <row r="429" customFormat="false" ht="15" hidden="false" customHeight="false" outlineLevel="0" collapsed="false">
      <c r="A429" s="0" t="s">
        <v>61</v>
      </c>
      <c r="B429" s="0" t="n">
        <v>2023</v>
      </c>
      <c r="C429" s="0" t="s">
        <v>401</v>
      </c>
      <c r="D429" s="0" t="s">
        <v>316</v>
      </c>
      <c r="E429" s="0" t="s">
        <v>402</v>
      </c>
      <c r="F429" s="0" t="s">
        <v>141</v>
      </c>
      <c r="G429" s="0" t="s">
        <v>185</v>
      </c>
      <c r="H429" s="6" t="n">
        <f aca="false">'Export-dataset'!AR11</f>
        <v>19357</v>
      </c>
    </row>
    <row r="430" customFormat="false" ht="15" hidden="false" customHeight="false" outlineLevel="0" collapsed="false">
      <c r="A430" s="0" t="s">
        <v>61</v>
      </c>
      <c r="B430" s="0" t="n">
        <v>2024</v>
      </c>
      <c r="C430" s="0" t="s">
        <v>401</v>
      </c>
      <c r="D430" s="0" t="s">
        <v>316</v>
      </c>
      <c r="E430" s="0" t="s">
        <v>402</v>
      </c>
      <c r="F430" s="0" t="s">
        <v>141</v>
      </c>
      <c r="G430" s="0" t="s">
        <v>185</v>
      </c>
      <c r="H430" s="6" t="n">
        <f aca="false">'Export-dataset'!AR12</f>
        <v>20515</v>
      </c>
    </row>
    <row r="431" customFormat="false" ht="15" hidden="false" customHeight="false" outlineLevel="0" collapsed="false">
      <c r="A431" s="0" t="s">
        <v>61</v>
      </c>
      <c r="B431" s="0" t="n">
        <v>2025</v>
      </c>
      <c r="C431" s="0" t="s">
        <v>401</v>
      </c>
      <c r="D431" s="0" t="s">
        <v>316</v>
      </c>
      <c r="E431" s="0" t="s">
        <v>402</v>
      </c>
      <c r="F431" s="0" t="s">
        <v>141</v>
      </c>
      <c r="G431" s="0" t="s">
        <v>185</v>
      </c>
      <c r="H431" s="6" t="n">
        <f aca="false">'Export-dataset'!AR13</f>
        <v>22719</v>
      </c>
    </row>
    <row r="432" customFormat="false" ht="15" hidden="false" customHeight="false" outlineLevel="0" collapsed="false">
      <c r="A432" s="0" t="s">
        <v>61</v>
      </c>
      <c r="B432" s="0" t="n">
        <v>2016</v>
      </c>
      <c r="C432" s="0" t="s">
        <v>403</v>
      </c>
      <c r="D432" s="0" t="s">
        <v>319</v>
      </c>
      <c r="E432" s="0" t="s">
        <v>404</v>
      </c>
      <c r="F432" s="0" t="s">
        <v>141</v>
      </c>
      <c r="G432" s="0" t="s">
        <v>186</v>
      </c>
      <c r="H432" s="6" t="n">
        <f aca="false">'Export-dataset'!AS4</f>
        <v>184</v>
      </c>
    </row>
    <row r="433" customFormat="false" ht="15" hidden="false" customHeight="false" outlineLevel="0" collapsed="false">
      <c r="A433" s="0" t="s">
        <v>61</v>
      </c>
      <c r="B433" s="0" t="n">
        <v>2017</v>
      </c>
      <c r="C433" s="0" t="s">
        <v>403</v>
      </c>
      <c r="D433" s="0" t="s">
        <v>319</v>
      </c>
      <c r="E433" s="0" t="s">
        <v>404</v>
      </c>
      <c r="F433" s="0" t="s">
        <v>141</v>
      </c>
      <c r="G433" s="0" t="s">
        <v>186</v>
      </c>
      <c r="H433" s="6" t="n">
        <f aca="false">'Export-dataset'!AS5</f>
        <v>166</v>
      </c>
    </row>
    <row r="434" customFormat="false" ht="15" hidden="false" customHeight="false" outlineLevel="0" collapsed="false">
      <c r="A434" s="0" t="s">
        <v>61</v>
      </c>
      <c r="B434" s="0" t="n">
        <v>2018</v>
      </c>
      <c r="C434" s="0" t="s">
        <v>403</v>
      </c>
      <c r="D434" s="0" t="s">
        <v>319</v>
      </c>
      <c r="E434" s="0" t="s">
        <v>404</v>
      </c>
      <c r="F434" s="0" t="s">
        <v>141</v>
      </c>
      <c r="G434" s="0" t="s">
        <v>186</v>
      </c>
      <c r="H434" s="6" t="n">
        <f aca="false">'Export-dataset'!AS6</f>
        <v>166</v>
      </c>
    </row>
    <row r="435" customFormat="false" ht="15" hidden="false" customHeight="false" outlineLevel="0" collapsed="false">
      <c r="A435" s="0" t="s">
        <v>61</v>
      </c>
      <c r="B435" s="0" t="n">
        <v>2019</v>
      </c>
      <c r="C435" s="0" t="s">
        <v>403</v>
      </c>
      <c r="D435" s="0" t="s">
        <v>319</v>
      </c>
      <c r="E435" s="0" t="s">
        <v>404</v>
      </c>
      <c r="F435" s="0" t="s">
        <v>141</v>
      </c>
      <c r="G435" s="0" t="s">
        <v>186</v>
      </c>
      <c r="H435" s="6" t="n">
        <f aca="false">'Export-dataset'!AS7</f>
        <v>141</v>
      </c>
    </row>
    <row r="436" customFormat="false" ht="15" hidden="false" customHeight="false" outlineLevel="0" collapsed="false">
      <c r="A436" s="0" t="s">
        <v>61</v>
      </c>
      <c r="B436" s="0" t="n">
        <v>2020</v>
      </c>
      <c r="C436" s="0" t="s">
        <v>403</v>
      </c>
      <c r="D436" s="0" t="s">
        <v>319</v>
      </c>
      <c r="E436" s="0" t="s">
        <v>404</v>
      </c>
      <c r="F436" s="0" t="s">
        <v>141</v>
      </c>
      <c r="G436" s="0" t="s">
        <v>186</v>
      </c>
      <c r="H436" s="6" t="n">
        <f aca="false">'Export-dataset'!AS8</f>
        <v>112</v>
      </c>
    </row>
    <row r="437" customFormat="false" ht="15" hidden="false" customHeight="false" outlineLevel="0" collapsed="false">
      <c r="A437" s="0" t="s">
        <v>61</v>
      </c>
      <c r="B437" s="0" t="n">
        <v>2021</v>
      </c>
      <c r="C437" s="0" t="s">
        <v>403</v>
      </c>
      <c r="D437" s="0" t="s">
        <v>319</v>
      </c>
      <c r="E437" s="0" t="s">
        <v>404</v>
      </c>
      <c r="F437" s="0" t="s">
        <v>141</v>
      </c>
      <c r="G437" s="0" t="s">
        <v>186</v>
      </c>
      <c r="H437" s="6" t="n">
        <f aca="false">'Export-dataset'!AS9</f>
        <v>160</v>
      </c>
    </row>
    <row r="438" customFormat="false" ht="15" hidden="false" customHeight="false" outlineLevel="0" collapsed="false">
      <c r="A438" s="0" t="s">
        <v>61</v>
      </c>
      <c r="B438" s="0" t="n">
        <v>2022</v>
      </c>
      <c r="C438" s="0" t="s">
        <v>403</v>
      </c>
      <c r="D438" s="0" t="s">
        <v>319</v>
      </c>
      <c r="E438" s="0" t="s">
        <v>404</v>
      </c>
      <c r="F438" s="0" t="s">
        <v>141</v>
      </c>
      <c r="G438" s="0" t="s">
        <v>186</v>
      </c>
      <c r="H438" s="6" t="n">
        <f aca="false">'Export-dataset'!AS10</f>
        <v>148</v>
      </c>
    </row>
    <row r="439" customFormat="false" ht="15" hidden="false" customHeight="false" outlineLevel="0" collapsed="false">
      <c r="A439" s="0" t="s">
        <v>61</v>
      </c>
      <c r="B439" s="0" t="n">
        <v>2023</v>
      </c>
      <c r="C439" s="0" t="s">
        <v>403</v>
      </c>
      <c r="D439" s="0" t="s">
        <v>319</v>
      </c>
      <c r="E439" s="0" t="s">
        <v>404</v>
      </c>
      <c r="F439" s="0" t="s">
        <v>141</v>
      </c>
      <c r="G439" s="0" t="s">
        <v>186</v>
      </c>
      <c r="H439" s="6" t="n">
        <f aca="false">'Export-dataset'!AS11</f>
        <v>109</v>
      </c>
    </row>
    <row r="440" customFormat="false" ht="15" hidden="false" customHeight="false" outlineLevel="0" collapsed="false">
      <c r="A440" s="0" t="s">
        <v>61</v>
      </c>
      <c r="B440" s="0" t="n">
        <v>2024</v>
      </c>
      <c r="C440" s="0" t="s">
        <v>403</v>
      </c>
      <c r="D440" s="0" t="s">
        <v>319</v>
      </c>
      <c r="E440" s="0" t="s">
        <v>404</v>
      </c>
      <c r="F440" s="0" t="s">
        <v>141</v>
      </c>
      <c r="G440" s="0" t="s">
        <v>186</v>
      </c>
      <c r="H440" s="6" t="n">
        <f aca="false">'Export-dataset'!AS12</f>
        <v>112</v>
      </c>
    </row>
    <row r="441" customFormat="false" ht="15" hidden="false" customHeight="false" outlineLevel="0" collapsed="false">
      <c r="A441" s="0" t="s">
        <v>61</v>
      </c>
      <c r="B441" s="0" t="n">
        <v>2025</v>
      </c>
      <c r="C441" s="0" t="s">
        <v>403</v>
      </c>
      <c r="D441" s="0" t="s">
        <v>319</v>
      </c>
      <c r="E441" s="0" t="s">
        <v>404</v>
      </c>
      <c r="F441" s="0" t="s">
        <v>141</v>
      </c>
      <c r="G441" s="0" t="s">
        <v>186</v>
      </c>
      <c r="H441" s="6" t="n">
        <f aca="false">'Export-dataset'!AS13</f>
        <v>108</v>
      </c>
    </row>
    <row r="442" customFormat="false" ht="15" hidden="false" customHeight="false" outlineLevel="0" collapsed="false">
      <c r="A442" s="0" t="s">
        <v>61</v>
      </c>
      <c r="B442" s="0" t="n">
        <v>2016</v>
      </c>
      <c r="C442" s="0" t="s">
        <v>405</v>
      </c>
      <c r="D442" s="0" t="s">
        <v>319</v>
      </c>
      <c r="E442" s="0" t="s">
        <v>406</v>
      </c>
      <c r="F442" s="0" t="s">
        <v>141</v>
      </c>
      <c r="G442" s="0" t="s">
        <v>187</v>
      </c>
      <c r="H442" s="6" t="n">
        <f aca="false">'Export-dataset'!AT4</f>
        <v>246</v>
      </c>
    </row>
    <row r="443" customFormat="false" ht="15" hidden="false" customHeight="false" outlineLevel="0" collapsed="false">
      <c r="A443" s="0" t="s">
        <v>61</v>
      </c>
      <c r="B443" s="0" t="n">
        <v>2017</v>
      </c>
      <c r="C443" s="0" t="s">
        <v>405</v>
      </c>
      <c r="D443" s="0" t="s">
        <v>319</v>
      </c>
      <c r="E443" s="0" t="s">
        <v>406</v>
      </c>
      <c r="F443" s="0" t="s">
        <v>141</v>
      </c>
      <c r="G443" s="0" t="s">
        <v>187</v>
      </c>
      <c r="H443" s="6" t="n">
        <f aca="false">'Export-dataset'!AT5</f>
        <v>294</v>
      </c>
    </row>
    <row r="444" customFormat="false" ht="15" hidden="false" customHeight="false" outlineLevel="0" collapsed="false">
      <c r="A444" s="0" t="s">
        <v>61</v>
      </c>
      <c r="B444" s="0" t="n">
        <v>2018</v>
      </c>
      <c r="C444" s="0" t="s">
        <v>405</v>
      </c>
      <c r="D444" s="0" t="s">
        <v>319</v>
      </c>
      <c r="E444" s="0" t="s">
        <v>406</v>
      </c>
      <c r="F444" s="0" t="s">
        <v>141</v>
      </c>
      <c r="G444" s="0" t="s">
        <v>187</v>
      </c>
      <c r="H444" s="6" t="n">
        <f aca="false">'Export-dataset'!AT6</f>
        <v>307</v>
      </c>
    </row>
    <row r="445" customFormat="false" ht="15" hidden="false" customHeight="false" outlineLevel="0" collapsed="false">
      <c r="A445" s="0" t="s">
        <v>61</v>
      </c>
      <c r="B445" s="0" t="n">
        <v>2019</v>
      </c>
      <c r="C445" s="0" t="s">
        <v>405</v>
      </c>
      <c r="D445" s="0" t="s">
        <v>319</v>
      </c>
      <c r="E445" s="0" t="s">
        <v>406</v>
      </c>
      <c r="F445" s="0" t="s">
        <v>141</v>
      </c>
      <c r="G445" s="0" t="s">
        <v>187</v>
      </c>
      <c r="H445" s="6" t="n">
        <f aca="false">'Export-dataset'!AT7</f>
        <v>325</v>
      </c>
    </row>
    <row r="446" customFormat="false" ht="15" hidden="false" customHeight="false" outlineLevel="0" collapsed="false">
      <c r="A446" s="0" t="s">
        <v>61</v>
      </c>
      <c r="B446" s="0" t="n">
        <v>2020</v>
      </c>
      <c r="C446" s="0" t="s">
        <v>405</v>
      </c>
      <c r="D446" s="0" t="s">
        <v>319</v>
      </c>
      <c r="E446" s="0" t="s">
        <v>406</v>
      </c>
      <c r="F446" s="0" t="s">
        <v>141</v>
      </c>
      <c r="G446" s="0" t="s">
        <v>187</v>
      </c>
      <c r="H446" s="6" t="n">
        <f aca="false">'Export-dataset'!AT8</f>
        <v>260</v>
      </c>
    </row>
    <row r="447" customFormat="false" ht="15" hidden="false" customHeight="false" outlineLevel="0" collapsed="false">
      <c r="A447" s="0" t="s">
        <v>61</v>
      </c>
      <c r="B447" s="0" t="n">
        <v>2021</v>
      </c>
      <c r="C447" s="0" t="s">
        <v>405</v>
      </c>
      <c r="D447" s="0" t="s">
        <v>319</v>
      </c>
      <c r="E447" s="0" t="s">
        <v>406</v>
      </c>
      <c r="F447" s="0" t="s">
        <v>141</v>
      </c>
      <c r="G447" s="0" t="s">
        <v>187</v>
      </c>
      <c r="H447" s="6" t="n">
        <f aca="false">'Export-dataset'!AT9</f>
        <v>257</v>
      </c>
    </row>
    <row r="448" customFormat="false" ht="15" hidden="false" customHeight="false" outlineLevel="0" collapsed="false">
      <c r="A448" s="0" t="s">
        <v>61</v>
      </c>
      <c r="B448" s="0" t="n">
        <v>2022</v>
      </c>
      <c r="C448" s="0" t="s">
        <v>405</v>
      </c>
      <c r="D448" s="0" t="s">
        <v>319</v>
      </c>
      <c r="E448" s="0" t="s">
        <v>406</v>
      </c>
      <c r="F448" s="0" t="s">
        <v>141</v>
      </c>
      <c r="G448" s="0" t="s">
        <v>187</v>
      </c>
      <c r="H448" s="6" t="n">
        <f aca="false">'Export-dataset'!AT10</f>
        <v>363</v>
      </c>
    </row>
    <row r="449" customFormat="false" ht="15" hidden="false" customHeight="false" outlineLevel="0" collapsed="false">
      <c r="A449" s="0" t="s">
        <v>61</v>
      </c>
      <c r="B449" s="0" t="n">
        <v>2023</v>
      </c>
      <c r="C449" s="0" t="s">
        <v>405</v>
      </c>
      <c r="D449" s="0" t="s">
        <v>319</v>
      </c>
      <c r="E449" s="0" t="s">
        <v>406</v>
      </c>
      <c r="F449" s="0" t="s">
        <v>141</v>
      </c>
      <c r="G449" s="0" t="s">
        <v>187</v>
      </c>
      <c r="H449" s="6" t="n">
        <f aca="false">'Export-dataset'!AT11</f>
        <v>397</v>
      </c>
    </row>
    <row r="450" customFormat="false" ht="15" hidden="false" customHeight="false" outlineLevel="0" collapsed="false">
      <c r="A450" s="0" t="s">
        <v>61</v>
      </c>
      <c r="B450" s="0" t="n">
        <v>2024</v>
      </c>
      <c r="C450" s="0" t="s">
        <v>405</v>
      </c>
      <c r="D450" s="0" t="s">
        <v>319</v>
      </c>
      <c r="E450" s="0" t="s">
        <v>406</v>
      </c>
      <c r="F450" s="0" t="s">
        <v>141</v>
      </c>
      <c r="G450" s="0" t="s">
        <v>187</v>
      </c>
      <c r="H450" s="6" t="n">
        <f aca="false">'Export-dataset'!AT12</f>
        <v>331</v>
      </c>
    </row>
    <row r="451" customFormat="false" ht="15" hidden="false" customHeight="false" outlineLevel="0" collapsed="false">
      <c r="A451" s="0" t="s">
        <v>61</v>
      </c>
      <c r="B451" s="0" t="n">
        <v>2025</v>
      </c>
      <c r="C451" s="0" t="s">
        <v>405</v>
      </c>
      <c r="D451" s="0" t="s">
        <v>319</v>
      </c>
      <c r="E451" s="0" t="s">
        <v>406</v>
      </c>
      <c r="F451" s="0" t="s">
        <v>141</v>
      </c>
      <c r="G451" s="0" t="s">
        <v>187</v>
      </c>
      <c r="H451" s="6" t="n">
        <f aca="false">'Export-dataset'!AT13</f>
        <v>345</v>
      </c>
    </row>
    <row r="452" customFormat="false" ht="15" hidden="false" customHeight="false" outlineLevel="0" collapsed="false">
      <c r="A452" s="0" t="s">
        <v>61</v>
      </c>
      <c r="B452" s="0" t="n">
        <v>2016</v>
      </c>
      <c r="C452" s="0" t="s">
        <v>407</v>
      </c>
      <c r="D452" s="0" t="s">
        <v>319</v>
      </c>
      <c r="E452" s="0" t="s">
        <v>408</v>
      </c>
      <c r="F452" s="0" t="s">
        <v>141</v>
      </c>
      <c r="G452" s="0" t="s">
        <v>188</v>
      </c>
      <c r="H452" s="6" t="n">
        <f aca="false">'Export-dataset'!AU4</f>
        <v>111</v>
      </c>
    </row>
    <row r="453" customFormat="false" ht="15" hidden="false" customHeight="false" outlineLevel="0" collapsed="false">
      <c r="A453" s="0" t="s">
        <v>61</v>
      </c>
      <c r="B453" s="0" t="n">
        <v>2017</v>
      </c>
      <c r="C453" s="0" t="s">
        <v>407</v>
      </c>
      <c r="D453" s="0" t="s">
        <v>319</v>
      </c>
      <c r="E453" s="0" t="s">
        <v>408</v>
      </c>
      <c r="F453" s="0" t="s">
        <v>141</v>
      </c>
      <c r="G453" s="0" t="s">
        <v>188</v>
      </c>
      <c r="H453" s="6" t="n">
        <f aca="false">'Export-dataset'!AU5</f>
        <v>115</v>
      </c>
    </row>
    <row r="454" customFormat="false" ht="15" hidden="false" customHeight="false" outlineLevel="0" collapsed="false">
      <c r="A454" s="0" t="s">
        <v>61</v>
      </c>
      <c r="B454" s="0" t="n">
        <v>2018</v>
      </c>
      <c r="C454" s="0" t="s">
        <v>407</v>
      </c>
      <c r="D454" s="0" t="s">
        <v>319</v>
      </c>
      <c r="E454" s="0" t="s">
        <v>408</v>
      </c>
      <c r="F454" s="0" t="s">
        <v>141</v>
      </c>
      <c r="G454" s="0" t="s">
        <v>188</v>
      </c>
      <c r="H454" s="6" t="n">
        <f aca="false">'Export-dataset'!AU6</f>
        <v>97</v>
      </c>
    </row>
    <row r="455" customFormat="false" ht="15" hidden="false" customHeight="false" outlineLevel="0" collapsed="false">
      <c r="A455" s="0" t="s">
        <v>61</v>
      </c>
      <c r="B455" s="0" t="n">
        <v>2019</v>
      </c>
      <c r="C455" s="0" t="s">
        <v>407</v>
      </c>
      <c r="D455" s="0" t="s">
        <v>319</v>
      </c>
      <c r="E455" s="0" t="s">
        <v>408</v>
      </c>
      <c r="F455" s="0" t="s">
        <v>141</v>
      </c>
      <c r="G455" s="0" t="s">
        <v>188</v>
      </c>
      <c r="H455" s="6" t="n">
        <f aca="false">'Export-dataset'!AU7</f>
        <v>108</v>
      </c>
    </row>
    <row r="456" customFormat="false" ht="15" hidden="false" customHeight="false" outlineLevel="0" collapsed="false">
      <c r="A456" s="0" t="s">
        <v>61</v>
      </c>
      <c r="B456" s="0" t="n">
        <v>2020</v>
      </c>
      <c r="C456" s="0" t="s">
        <v>407</v>
      </c>
      <c r="D456" s="0" t="s">
        <v>319</v>
      </c>
      <c r="E456" s="0" t="s">
        <v>408</v>
      </c>
      <c r="F456" s="0" t="s">
        <v>141</v>
      </c>
      <c r="G456" s="0" t="s">
        <v>188</v>
      </c>
      <c r="H456" s="6" t="n">
        <f aca="false">'Export-dataset'!AU8</f>
        <v>103</v>
      </c>
    </row>
    <row r="457" customFormat="false" ht="15" hidden="false" customHeight="false" outlineLevel="0" collapsed="false">
      <c r="A457" s="0" t="s">
        <v>61</v>
      </c>
      <c r="B457" s="0" t="n">
        <v>2021</v>
      </c>
      <c r="C457" s="0" t="s">
        <v>407</v>
      </c>
      <c r="D457" s="0" t="s">
        <v>319</v>
      </c>
      <c r="E457" s="0" t="s">
        <v>408</v>
      </c>
      <c r="F457" s="0" t="s">
        <v>141</v>
      </c>
      <c r="G457" s="0" t="s">
        <v>188</v>
      </c>
      <c r="H457" s="6" t="n">
        <f aca="false">'Export-dataset'!AU9</f>
        <v>96</v>
      </c>
    </row>
    <row r="458" customFormat="false" ht="15" hidden="false" customHeight="false" outlineLevel="0" collapsed="false">
      <c r="A458" s="0" t="s">
        <v>61</v>
      </c>
      <c r="B458" s="0" t="n">
        <v>2022</v>
      </c>
      <c r="C458" s="0" t="s">
        <v>407</v>
      </c>
      <c r="D458" s="0" t="s">
        <v>319</v>
      </c>
      <c r="E458" s="0" t="s">
        <v>408</v>
      </c>
      <c r="F458" s="0" t="s">
        <v>141</v>
      </c>
      <c r="G458" s="0" t="s">
        <v>188</v>
      </c>
      <c r="H458" s="6" t="n">
        <f aca="false">'Export-dataset'!AU10</f>
        <v>96</v>
      </c>
    </row>
    <row r="459" customFormat="false" ht="15" hidden="false" customHeight="false" outlineLevel="0" collapsed="false">
      <c r="A459" s="0" t="s">
        <v>61</v>
      </c>
      <c r="B459" s="0" t="n">
        <v>2023</v>
      </c>
      <c r="C459" s="0" t="s">
        <v>407</v>
      </c>
      <c r="D459" s="0" t="s">
        <v>319</v>
      </c>
      <c r="E459" s="0" t="s">
        <v>408</v>
      </c>
      <c r="F459" s="0" t="s">
        <v>141</v>
      </c>
      <c r="G459" s="0" t="s">
        <v>188</v>
      </c>
      <c r="H459" s="6" t="n">
        <f aca="false">'Export-dataset'!AU11</f>
        <v>98</v>
      </c>
    </row>
    <row r="460" customFormat="false" ht="15" hidden="false" customHeight="false" outlineLevel="0" collapsed="false">
      <c r="A460" s="0" t="s">
        <v>61</v>
      </c>
      <c r="B460" s="0" t="n">
        <v>2024</v>
      </c>
      <c r="C460" s="0" t="s">
        <v>407</v>
      </c>
      <c r="D460" s="0" t="s">
        <v>319</v>
      </c>
      <c r="E460" s="0" t="s">
        <v>408</v>
      </c>
      <c r="F460" s="0" t="s">
        <v>141</v>
      </c>
      <c r="G460" s="0" t="s">
        <v>188</v>
      </c>
      <c r="H460" s="6" t="n">
        <f aca="false">'Export-dataset'!AU12</f>
        <v>97</v>
      </c>
    </row>
    <row r="461" customFormat="false" ht="15" hidden="false" customHeight="false" outlineLevel="0" collapsed="false">
      <c r="A461" s="0" t="s">
        <v>61</v>
      </c>
      <c r="B461" s="0" t="n">
        <v>2025</v>
      </c>
      <c r="C461" s="0" t="s">
        <v>407</v>
      </c>
      <c r="D461" s="0" t="s">
        <v>319</v>
      </c>
      <c r="E461" s="0" t="s">
        <v>408</v>
      </c>
      <c r="F461" s="0" t="s">
        <v>141</v>
      </c>
      <c r="G461" s="0" t="s">
        <v>188</v>
      </c>
      <c r="H461" s="6" t="n">
        <f aca="false">'Export-dataset'!AU13</f>
        <v>77</v>
      </c>
    </row>
    <row r="462" customFormat="false" ht="15" hidden="false" customHeight="false" outlineLevel="0" collapsed="false">
      <c r="A462" s="0" t="s">
        <v>61</v>
      </c>
      <c r="B462" s="0" t="n">
        <v>2016</v>
      </c>
      <c r="C462" s="0" t="s">
        <v>409</v>
      </c>
      <c r="D462" s="0" t="s">
        <v>319</v>
      </c>
      <c r="E462" s="0" t="s">
        <v>410</v>
      </c>
      <c r="F462" s="0" t="s">
        <v>141</v>
      </c>
      <c r="G462" s="0" t="s">
        <v>189</v>
      </c>
      <c r="H462" s="6" t="n">
        <f aca="false">'Export-dataset'!AV4</f>
        <v>984</v>
      </c>
    </row>
    <row r="463" customFormat="false" ht="15" hidden="false" customHeight="false" outlineLevel="0" collapsed="false">
      <c r="A463" s="0" t="s">
        <v>61</v>
      </c>
      <c r="B463" s="0" t="n">
        <v>2017</v>
      </c>
      <c r="C463" s="0" t="s">
        <v>409</v>
      </c>
      <c r="D463" s="0" t="s">
        <v>319</v>
      </c>
      <c r="E463" s="0" t="s">
        <v>410</v>
      </c>
      <c r="F463" s="0" t="s">
        <v>141</v>
      </c>
      <c r="G463" s="0" t="s">
        <v>189</v>
      </c>
      <c r="H463" s="6" t="n">
        <f aca="false">'Export-dataset'!AV5</f>
        <v>1013</v>
      </c>
    </row>
    <row r="464" customFormat="false" ht="15" hidden="false" customHeight="false" outlineLevel="0" collapsed="false">
      <c r="A464" s="0" t="s">
        <v>61</v>
      </c>
      <c r="B464" s="0" t="n">
        <v>2018</v>
      </c>
      <c r="C464" s="0" t="s">
        <v>409</v>
      </c>
      <c r="D464" s="0" t="s">
        <v>319</v>
      </c>
      <c r="E464" s="0" t="s">
        <v>410</v>
      </c>
      <c r="F464" s="0" t="s">
        <v>141</v>
      </c>
      <c r="G464" s="0" t="s">
        <v>189</v>
      </c>
      <c r="H464" s="6" t="n">
        <f aca="false">'Export-dataset'!AV6</f>
        <v>1145</v>
      </c>
    </row>
    <row r="465" customFormat="false" ht="15" hidden="false" customHeight="false" outlineLevel="0" collapsed="false">
      <c r="A465" s="0" t="s">
        <v>61</v>
      </c>
      <c r="B465" s="0" t="n">
        <v>2019</v>
      </c>
      <c r="C465" s="0" t="s">
        <v>409</v>
      </c>
      <c r="D465" s="0" t="s">
        <v>319</v>
      </c>
      <c r="E465" s="0" t="s">
        <v>410</v>
      </c>
      <c r="F465" s="0" t="s">
        <v>141</v>
      </c>
      <c r="G465" s="0" t="s">
        <v>189</v>
      </c>
      <c r="H465" s="6" t="n">
        <f aca="false">'Export-dataset'!AV7</f>
        <v>1094</v>
      </c>
    </row>
    <row r="466" customFormat="false" ht="15" hidden="false" customHeight="false" outlineLevel="0" collapsed="false">
      <c r="A466" s="0" t="s">
        <v>61</v>
      </c>
      <c r="B466" s="0" t="n">
        <v>2020</v>
      </c>
      <c r="C466" s="0" t="s">
        <v>409</v>
      </c>
      <c r="D466" s="0" t="s">
        <v>319</v>
      </c>
      <c r="E466" s="0" t="s">
        <v>410</v>
      </c>
      <c r="F466" s="0" t="s">
        <v>141</v>
      </c>
      <c r="G466" s="0" t="s">
        <v>189</v>
      </c>
      <c r="H466" s="6" t="n">
        <f aca="false">'Export-dataset'!AV8</f>
        <v>934</v>
      </c>
    </row>
    <row r="467" customFormat="false" ht="15" hidden="false" customHeight="false" outlineLevel="0" collapsed="false">
      <c r="A467" s="0" t="s">
        <v>61</v>
      </c>
      <c r="B467" s="0" t="n">
        <v>2021</v>
      </c>
      <c r="C467" s="0" t="s">
        <v>409</v>
      </c>
      <c r="D467" s="0" t="s">
        <v>319</v>
      </c>
      <c r="E467" s="0" t="s">
        <v>410</v>
      </c>
      <c r="F467" s="0" t="s">
        <v>141</v>
      </c>
      <c r="G467" s="0" t="s">
        <v>189</v>
      </c>
      <c r="H467" s="6" t="n">
        <f aca="false">'Export-dataset'!AV9</f>
        <v>948</v>
      </c>
    </row>
    <row r="468" customFormat="false" ht="15" hidden="false" customHeight="false" outlineLevel="0" collapsed="false">
      <c r="A468" s="0" t="s">
        <v>61</v>
      </c>
      <c r="B468" s="0" t="n">
        <v>2022</v>
      </c>
      <c r="C468" s="0" t="s">
        <v>409</v>
      </c>
      <c r="D468" s="0" t="s">
        <v>319</v>
      </c>
      <c r="E468" s="0" t="s">
        <v>410</v>
      </c>
      <c r="F468" s="0" t="s">
        <v>141</v>
      </c>
      <c r="G468" s="0" t="s">
        <v>189</v>
      </c>
      <c r="H468" s="6" t="n">
        <f aca="false">'Export-dataset'!AV10</f>
        <v>1014</v>
      </c>
    </row>
    <row r="469" customFormat="false" ht="15" hidden="false" customHeight="false" outlineLevel="0" collapsed="false">
      <c r="A469" s="0" t="s">
        <v>61</v>
      </c>
      <c r="B469" s="0" t="n">
        <v>2023</v>
      </c>
      <c r="C469" s="0" t="s">
        <v>409</v>
      </c>
      <c r="D469" s="0" t="s">
        <v>319</v>
      </c>
      <c r="E469" s="0" t="s">
        <v>410</v>
      </c>
      <c r="F469" s="0" t="s">
        <v>141</v>
      </c>
      <c r="G469" s="0" t="s">
        <v>189</v>
      </c>
      <c r="H469" s="6" t="n">
        <f aca="false">'Export-dataset'!AV11</f>
        <v>888</v>
      </c>
    </row>
    <row r="470" customFormat="false" ht="15" hidden="false" customHeight="false" outlineLevel="0" collapsed="false">
      <c r="A470" s="0" t="s">
        <v>61</v>
      </c>
      <c r="B470" s="0" t="n">
        <v>2024</v>
      </c>
      <c r="C470" s="0" t="s">
        <v>409</v>
      </c>
      <c r="D470" s="0" t="s">
        <v>319</v>
      </c>
      <c r="E470" s="0" t="s">
        <v>410</v>
      </c>
      <c r="F470" s="0" t="s">
        <v>141</v>
      </c>
      <c r="G470" s="0" t="s">
        <v>189</v>
      </c>
      <c r="H470" s="6" t="n">
        <f aca="false">'Export-dataset'!AV12</f>
        <v>891</v>
      </c>
    </row>
    <row r="471" customFormat="false" ht="15" hidden="false" customHeight="false" outlineLevel="0" collapsed="false">
      <c r="A471" s="0" t="s">
        <v>61</v>
      </c>
      <c r="B471" s="0" t="n">
        <v>2025</v>
      </c>
      <c r="C471" s="0" t="s">
        <v>409</v>
      </c>
      <c r="D471" s="0" t="s">
        <v>319</v>
      </c>
      <c r="E471" s="0" t="s">
        <v>410</v>
      </c>
      <c r="F471" s="0" t="s">
        <v>141</v>
      </c>
      <c r="G471" s="0" t="s">
        <v>189</v>
      </c>
      <c r="H471" s="6" t="n">
        <f aca="false">'Export-dataset'!AV13</f>
        <v>871</v>
      </c>
    </row>
    <row r="472" customFormat="false" ht="15" hidden="false" customHeight="false" outlineLevel="0" collapsed="false">
      <c r="A472" s="0" t="s">
        <v>61</v>
      </c>
      <c r="B472" s="0" t="n">
        <v>2016</v>
      </c>
      <c r="C472" s="0" t="s">
        <v>411</v>
      </c>
      <c r="D472" s="0" t="s">
        <v>319</v>
      </c>
      <c r="E472" s="0" t="s">
        <v>412</v>
      </c>
      <c r="F472" s="0" t="s">
        <v>141</v>
      </c>
      <c r="G472" s="0" t="s">
        <v>190</v>
      </c>
      <c r="H472" s="6" t="n">
        <f aca="false">'Export-dataset'!AW4</f>
        <v>268</v>
      </c>
    </row>
    <row r="473" customFormat="false" ht="15" hidden="false" customHeight="false" outlineLevel="0" collapsed="false">
      <c r="A473" s="0" t="s">
        <v>61</v>
      </c>
      <c r="B473" s="0" t="n">
        <v>2017</v>
      </c>
      <c r="C473" s="0" t="s">
        <v>411</v>
      </c>
      <c r="D473" s="0" t="s">
        <v>319</v>
      </c>
      <c r="E473" s="0" t="s">
        <v>412</v>
      </c>
      <c r="F473" s="0" t="s">
        <v>141</v>
      </c>
      <c r="G473" s="0" t="s">
        <v>190</v>
      </c>
      <c r="H473" s="6" t="n">
        <f aca="false">'Export-dataset'!AW5</f>
        <v>274</v>
      </c>
    </row>
    <row r="474" customFormat="false" ht="15" hidden="false" customHeight="false" outlineLevel="0" collapsed="false">
      <c r="A474" s="0" t="s">
        <v>61</v>
      </c>
      <c r="B474" s="0" t="n">
        <v>2018</v>
      </c>
      <c r="C474" s="0" t="s">
        <v>411</v>
      </c>
      <c r="D474" s="0" t="s">
        <v>319</v>
      </c>
      <c r="E474" s="0" t="s">
        <v>412</v>
      </c>
      <c r="F474" s="0" t="s">
        <v>141</v>
      </c>
      <c r="G474" s="0" t="s">
        <v>190</v>
      </c>
      <c r="H474" s="6" t="n">
        <f aca="false">'Export-dataset'!AW6</f>
        <v>273</v>
      </c>
    </row>
    <row r="475" customFormat="false" ht="15" hidden="false" customHeight="false" outlineLevel="0" collapsed="false">
      <c r="A475" s="0" t="s">
        <v>61</v>
      </c>
      <c r="B475" s="0" t="n">
        <v>2019</v>
      </c>
      <c r="C475" s="0" t="s">
        <v>411</v>
      </c>
      <c r="D475" s="0" t="s">
        <v>319</v>
      </c>
      <c r="E475" s="0" t="s">
        <v>412</v>
      </c>
      <c r="F475" s="0" t="s">
        <v>141</v>
      </c>
      <c r="G475" s="0" t="s">
        <v>190</v>
      </c>
      <c r="H475" s="6" t="n">
        <f aca="false">'Export-dataset'!AW7</f>
        <v>305</v>
      </c>
    </row>
    <row r="476" customFormat="false" ht="15" hidden="false" customHeight="false" outlineLevel="0" collapsed="false">
      <c r="A476" s="0" t="s">
        <v>61</v>
      </c>
      <c r="B476" s="0" t="n">
        <v>2020</v>
      </c>
      <c r="C476" s="0" t="s">
        <v>411</v>
      </c>
      <c r="D476" s="0" t="s">
        <v>319</v>
      </c>
      <c r="E476" s="0" t="s">
        <v>412</v>
      </c>
      <c r="F476" s="0" t="s">
        <v>141</v>
      </c>
      <c r="G476" s="0" t="s">
        <v>190</v>
      </c>
      <c r="H476" s="6" t="n">
        <f aca="false">'Export-dataset'!AW8</f>
        <v>276</v>
      </c>
    </row>
    <row r="477" customFormat="false" ht="15" hidden="false" customHeight="false" outlineLevel="0" collapsed="false">
      <c r="A477" s="0" t="s">
        <v>61</v>
      </c>
      <c r="B477" s="0" t="n">
        <v>2021</v>
      </c>
      <c r="C477" s="0" t="s">
        <v>411</v>
      </c>
      <c r="D477" s="0" t="s">
        <v>319</v>
      </c>
      <c r="E477" s="0" t="s">
        <v>412</v>
      </c>
      <c r="F477" s="0" t="s">
        <v>141</v>
      </c>
      <c r="G477" s="0" t="s">
        <v>190</v>
      </c>
      <c r="H477" s="6" t="n">
        <f aca="false">'Export-dataset'!AW9</f>
        <v>333</v>
      </c>
    </row>
    <row r="478" customFormat="false" ht="15" hidden="false" customHeight="false" outlineLevel="0" collapsed="false">
      <c r="A478" s="0" t="s">
        <v>61</v>
      </c>
      <c r="B478" s="0" t="n">
        <v>2022</v>
      </c>
      <c r="C478" s="0" t="s">
        <v>411</v>
      </c>
      <c r="D478" s="0" t="s">
        <v>319</v>
      </c>
      <c r="E478" s="0" t="s">
        <v>412</v>
      </c>
      <c r="F478" s="0" t="s">
        <v>141</v>
      </c>
      <c r="G478" s="0" t="s">
        <v>190</v>
      </c>
      <c r="H478" s="6" t="n">
        <f aca="false">'Export-dataset'!AW10</f>
        <v>356</v>
      </c>
    </row>
    <row r="479" customFormat="false" ht="15" hidden="false" customHeight="false" outlineLevel="0" collapsed="false">
      <c r="A479" s="0" t="s">
        <v>61</v>
      </c>
      <c r="B479" s="0" t="n">
        <v>2023</v>
      </c>
      <c r="C479" s="0" t="s">
        <v>411</v>
      </c>
      <c r="D479" s="0" t="s">
        <v>319</v>
      </c>
      <c r="E479" s="0" t="s">
        <v>412</v>
      </c>
      <c r="F479" s="0" t="s">
        <v>141</v>
      </c>
      <c r="G479" s="0" t="s">
        <v>190</v>
      </c>
      <c r="H479" s="6" t="n">
        <f aca="false">'Export-dataset'!AW11</f>
        <v>364</v>
      </c>
    </row>
    <row r="480" customFormat="false" ht="15" hidden="false" customHeight="false" outlineLevel="0" collapsed="false">
      <c r="A480" s="0" t="s">
        <v>61</v>
      </c>
      <c r="B480" s="0" t="n">
        <v>2024</v>
      </c>
      <c r="C480" s="0" t="s">
        <v>411</v>
      </c>
      <c r="D480" s="0" t="s">
        <v>319</v>
      </c>
      <c r="E480" s="0" t="s">
        <v>412</v>
      </c>
      <c r="F480" s="0" t="s">
        <v>141</v>
      </c>
      <c r="G480" s="0" t="s">
        <v>190</v>
      </c>
      <c r="H480" s="6" t="n">
        <f aca="false">'Export-dataset'!AW12</f>
        <v>392</v>
      </c>
    </row>
    <row r="481" customFormat="false" ht="15" hidden="false" customHeight="false" outlineLevel="0" collapsed="false">
      <c r="A481" s="0" t="s">
        <v>61</v>
      </c>
      <c r="B481" s="0" t="n">
        <v>2025</v>
      </c>
      <c r="C481" s="0" t="s">
        <v>411</v>
      </c>
      <c r="D481" s="0" t="s">
        <v>319</v>
      </c>
      <c r="E481" s="0" t="s">
        <v>412</v>
      </c>
      <c r="F481" s="0" t="s">
        <v>141</v>
      </c>
      <c r="G481" s="0" t="s">
        <v>190</v>
      </c>
      <c r="H481" s="6" t="n">
        <f aca="false">'Export-dataset'!AW13</f>
        <v>375</v>
      </c>
    </row>
    <row r="482" customFormat="false" ht="15" hidden="false" customHeight="false" outlineLevel="0" collapsed="false">
      <c r="A482" s="0" t="s">
        <v>61</v>
      </c>
      <c r="B482" s="0" t="n">
        <v>2016</v>
      </c>
      <c r="C482" s="0" t="s">
        <v>413</v>
      </c>
      <c r="D482" s="0" t="s">
        <v>319</v>
      </c>
      <c r="E482" s="0" t="s">
        <v>414</v>
      </c>
      <c r="F482" s="0" t="s">
        <v>141</v>
      </c>
      <c r="G482" s="0" t="s">
        <v>191</v>
      </c>
      <c r="H482" s="6" t="n">
        <f aca="false">'Export-dataset'!AX4</f>
        <v>1060</v>
      </c>
    </row>
    <row r="483" customFormat="false" ht="15" hidden="false" customHeight="false" outlineLevel="0" collapsed="false">
      <c r="A483" s="0" t="s">
        <v>61</v>
      </c>
      <c r="B483" s="0" t="n">
        <v>2017</v>
      </c>
      <c r="C483" s="0" t="s">
        <v>413</v>
      </c>
      <c r="D483" s="0" t="s">
        <v>319</v>
      </c>
      <c r="E483" s="0" t="s">
        <v>414</v>
      </c>
      <c r="F483" s="0" t="s">
        <v>141</v>
      </c>
      <c r="G483" s="0" t="s">
        <v>191</v>
      </c>
      <c r="H483" s="6" t="n">
        <f aca="false">'Export-dataset'!AX5</f>
        <v>902</v>
      </c>
    </row>
    <row r="484" customFormat="false" ht="15" hidden="false" customHeight="false" outlineLevel="0" collapsed="false">
      <c r="A484" s="0" t="s">
        <v>61</v>
      </c>
      <c r="B484" s="0" t="n">
        <v>2018</v>
      </c>
      <c r="C484" s="0" t="s">
        <v>413</v>
      </c>
      <c r="D484" s="0" t="s">
        <v>319</v>
      </c>
      <c r="E484" s="0" t="s">
        <v>414</v>
      </c>
      <c r="F484" s="0" t="s">
        <v>141</v>
      </c>
      <c r="G484" s="0" t="s">
        <v>191</v>
      </c>
      <c r="H484" s="6" t="n">
        <f aca="false">'Export-dataset'!AX6</f>
        <v>927</v>
      </c>
    </row>
    <row r="485" customFormat="false" ht="15" hidden="false" customHeight="false" outlineLevel="0" collapsed="false">
      <c r="A485" s="0" t="s">
        <v>61</v>
      </c>
      <c r="B485" s="0" t="n">
        <v>2019</v>
      </c>
      <c r="C485" s="0" t="s">
        <v>413</v>
      </c>
      <c r="D485" s="0" t="s">
        <v>319</v>
      </c>
      <c r="E485" s="0" t="s">
        <v>414</v>
      </c>
      <c r="F485" s="0" t="s">
        <v>141</v>
      </c>
      <c r="G485" s="0" t="s">
        <v>191</v>
      </c>
      <c r="H485" s="6" t="n">
        <f aca="false">'Export-dataset'!AX7</f>
        <v>1005</v>
      </c>
    </row>
    <row r="486" customFormat="false" ht="15" hidden="false" customHeight="false" outlineLevel="0" collapsed="false">
      <c r="A486" s="0" t="s">
        <v>61</v>
      </c>
      <c r="B486" s="0" t="n">
        <v>2020</v>
      </c>
      <c r="C486" s="0" t="s">
        <v>413</v>
      </c>
      <c r="D486" s="0" t="s">
        <v>319</v>
      </c>
      <c r="E486" s="0" t="s">
        <v>414</v>
      </c>
      <c r="F486" s="0" t="s">
        <v>141</v>
      </c>
      <c r="G486" s="0" t="s">
        <v>191</v>
      </c>
      <c r="H486" s="6" t="n">
        <f aca="false">'Export-dataset'!AX8</f>
        <v>736</v>
      </c>
    </row>
    <row r="487" customFormat="false" ht="15" hidden="false" customHeight="false" outlineLevel="0" collapsed="false">
      <c r="A487" s="0" t="s">
        <v>61</v>
      </c>
      <c r="B487" s="0" t="n">
        <v>2021</v>
      </c>
      <c r="C487" s="0" t="s">
        <v>413</v>
      </c>
      <c r="D487" s="0" t="s">
        <v>319</v>
      </c>
      <c r="E487" s="0" t="s">
        <v>414</v>
      </c>
      <c r="F487" s="0" t="s">
        <v>141</v>
      </c>
      <c r="G487" s="0" t="s">
        <v>191</v>
      </c>
      <c r="H487" s="6" t="n">
        <f aca="false">'Export-dataset'!AX9</f>
        <v>570</v>
      </c>
    </row>
    <row r="488" customFormat="false" ht="15" hidden="false" customHeight="false" outlineLevel="0" collapsed="false">
      <c r="A488" s="0" t="s">
        <v>61</v>
      </c>
      <c r="B488" s="0" t="n">
        <v>2022</v>
      </c>
      <c r="C488" s="0" t="s">
        <v>413</v>
      </c>
      <c r="D488" s="0" t="s">
        <v>319</v>
      </c>
      <c r="E488" s="0" t="s">
        <v>414</v>
      </c>
      <c r="F488" s="0" t="s">
        <v>141</v>
      </c>
      <c r="G488" s="0" t="s">
        <v>191</v>
      </c>
      <c r="H488" s="6" t="n">
        <f aca="false">'Export-dataset'!AX10</f>
        <v>604</v>
      </c>
    </row>
    <row r="489" customFormat="false" ht="15" hidden="false" customHeight="false" outlineLevel="0" collapsed="false">
      <c r="A489" s="0" t="s">
        <v>61</v>
      </c>
      <c r="B489" s="0" t="n">
        <v>2023</v>
      </c>
      <c r="C489" s="0" t="s">
        <v>413</v>
      </c>
      <c r="D489" s="0" t="s">
        <v>319</v>
      </c>
      <c r="E489" s="0" t="s">
        <v>414</v>
      </c>
      <c r="F489" s="0" t="s">
        <v>141</v>
      </c>
      <c r="G489" s="0" t="s">
        <v>191</v>
      </c>
      <c r="H489" s="6" t="n">
        <f aca="false">'Export-dataset'!AX11</f>
        <v>854</v>
      </c>
    </row>
    <row r="490" customFormat="false" ht="15" hidden="false" customHeight="false" outlineLevel="0" collapsed="false">
      <c r="A490" s="0" t="s">
        <v>61</v>
      </c>
      <c r="B490" s="0" t="n">
        <v>2024</v>
      </c>
      <c r="C490" s="0" t="s">
        <v>413</v>
      </c>
      <c r="D490" s="0" t="s">
        <v>319</v>
      </c>
      <c r="E490" s="0" t="s">
        <v>414</v>
      </c>
      <c r="F490" s="0" t="s">
        <v>141</v>
      </c>
      <c r="G490" s="0" t="s">
        <v>191</v>
      </c>
      <c r="H490" s="6" t="n">
        <f aca="false">'Export-dataset'!AX12</f>
        <v>590</v>
      </c>
    </row>
    <row r="491" customFormat="false" ht="15" hidden="false" customHeight="false" outlineLevel="0" collapsed="false">
      <c r="A491" s="0" t="s">
        <v>61</v>
      </c>
      <c r="B491" s="0" t="n">
        <v>2025</v>
      </c>
      <c r="C491" s="0" t="s">
        <v>413</v>
      </c>
      <c r="D491" s="0" t="s">
        <v>319</v>
      </c>
      <c r="E491" s="0" t="s">
        <v>414</v>
      </c>
      <c r="F491" s="0" t="s">
        <v>141</v>
      </c>
      <c r="G491" s="0" t="s">
        <v>191</v>
      </c>
      <c r="H491" s="6" t="n">
        <f aca="false">'Export-dataset'!AX13</f>
        <v>480</v>
      </c>
    </row>
    <row r="492" customFormat="false" ht="15" hidden="false" customHeight="false" outlineLevel="0" collapsed="false">
      <c r="A492" s="0" t="s">
        <v>61</v>
      </c>
      <c r="B492" s="0" t="n">
        <v>2016</v>
      </c>
      <c r="C492" s="0" t="s">
        <v>415</v>
      </c>
      <c r="D492" s="0" t="s">
        <v>319</v>
      </c>
      <c r="E492" s="0" t="s">
        <v>416</v>
      </c>
      <c r="F492" s="0" t="s">
        <v>141</v>
      </c>
      <c r="G492" s="0" t="s">
        <v>192</v>
      </c>
      <c r="H492" s="6" t="n">
        <f aca="false">'Export-dataset'!AY4</f>
        <v>602</v>
      </c>
    </row>
    <row r="493" customFormat="false" ht="15" hidden="false" customHeight="false" outlineLevel="0" collapsed="false">
      <c r="A493" s="0" t="s">
        <v>61</v>
      </c>
      <c r="B493" s="0" t="n">
        <v>2017</v>
      </c>
      <c r="C493" s="0" t="s">
        <v>415</v>
      </c>
      <c r="D493" s="0" t="s">
        <v>319</v>
      </c>
      <c r="E493" s="0" t="s">
        <v>416</v>
      </c>
      <c r="F493" s="0" t="s">
        <v>141</v>
      </c>
      <c r="G493" s="0" t="s">
        <v>192</v>
      </c>
      <c r="H493" s="6" t="n">
        <f aca="false">'Export-dataset'!AY5</f>
        <v>917</v>
      </c>
    </row>
    <row r="494" customFormat="false" ht="15" hidden="false" customHeight="false" outlineLevel="0" collapsed="false">
      <c r="A494" s="0" t="s">
        <v>61</v>
      </c>
      <c r="B494" s="0" t="n">
        <v>2018</v>
      </c>
      <c r="C494" s="0" t="s">
        <v>415</v>
      </c>
      <c r="D494" s="0" t="s">
        <v>319</v>
      </c>
      <c r="E494" s="0" t="s">
        <v>416</v>
      </c>
      <c r="F494" s="0" t="s">
        <v>141</v>
      </c>
      <c r="G494" s="0" t="s">
        <v>192</v>
      </c>
      <c r="H494" s="6" t="n">
        <f aca="false">'Export-dataset'!AY6</f>
        <v>1029</v>
      </c>
    </row>
    <row r="495" customFormat="false" ht="15" hidden="false" customHeight="false" outlineLevel="0" collapsed="false">
      <c r="A495" s="0" t="s">
        <v>61</v>
      </c>
      <c r="B495" s="0" t="n">
        <v>2019</v>
      </c>
      <c r="C495" s="0" t="s">
        <v>415</v>
      </c>
      <c r="D495" s="0" t="s">
        <v>319</v>
      </c>
      <c r="E495" s="0" t="s">
        <v>416</v>
      </c>
      <c r="F495" s="0" t="s">
        <v>141</v>
      </c>
      <c r="G495" s="0" t="s">
        <v>192</v>
      </c>
      <c r="H495" s="6" t="n">
        <f aca="false">'Export-dataset'!AY7</f>
        <v>1217</v>
      </c>
    </row>
    <row r="496" customFormat="false" ht="15" hidden="false" customHeight="false" outlineLevel="0" collapsed="false">
      <c r="A496" s="0" t="s">
        <v>61</v>
      </c>
      <c r="B496" s="0" t="n">
        <v>2020</v>
      </c>
      <c r="C496" s="0" t="s">
        <v>415</v>
      </c>
      <c r="D496" s="0" t="s">
        <v>319</v>
      </c>
      <c r="E496" s="0" t="s">
        <v>416</v>
      </c>
      <c r="F496" s="0" t="s">
        <v>141</v>
      </c>
      <c r="G496" s="0" t="s">
        <v>192</v>
      </c>
      <c r="H496" s="6" t="n">
        <f aca="false">'Export-dataset'!AY8</f>
        <v>920</v>
      </c>
    </row>
    <row r="497" customFormat="false" ht="15" hidden="false" customHeight="false" outlineLevel="0" collapsed="false">
      <c r="A497" s="0" t="s">
        <v>61</v>
      </c>
      <c r="B497" s="0" t="n">
        <v>2021</v>
      </c>
      <c r="C497" s="0" t="s">
        <v>415</v>
      </c>
      <c r="D497" s="0" t="s">
        <v>319</v>
      </c>
      <c r="E497" s="0" t="s">
        <v>416</v>
      </c>
      <c r="F497" s="0" t="s">
        <v>141</v>
      </c>
      <c r="G497" s="0" t="s">
        <v>192</v>
      </c>
      <c r="H497" s="6" t="n">
        <f aca="false">'Export-dataset'!AY9</f>
        <v>793</v>
      </c>
    </row>
    <row r="498" customFormat="false" ht="15" hidden="false" customHeight="false" outlineLevel="0" collapsed="false">
      <c r="A498" s="0" t="s">
        <v>61</v>
      </c>
      <c r="B498" s="0" t="n">
        <v>2022</v>
      </c>
      <c r="C498" s="0" t="s">
        <v>415</v>
      </c>
      <c r="D498" s="0" t="s">
        <v>319</v>
      </c>
      <c r="E498" s="0" t="s">
        <v>416</v>
      </c>
      <c r="F498" s="0" t="s">
        <v>141</v>
      </c>
      <c r="G498" s="0" t="s">
        <v>192</v>
      </c>
      <c r="H498" s="6" t="n">
        <f aca="false">'Export-dataset'!AY10</f>
        <v>1340</v>
      </c>
    </row>
    <row r="499" customFormat="false" ht="15" hidden="false" customHeight="false" outlineLevel="0" collapsed="false">
      <c r="A499" s="0" t="s">
        <v>61</v>
      </c>
      <c r="B499" s="0" t="n">
        <v>2023</v>
      </c>
      <c r="C499" s="0" t="s">
        <v>415</v>
      </c>
      <c r="D499" s="0" t="s">
        <v>319</v>
      </c>
      <c r="E499" s="0" t="s">
        <v>416</v>
      </c>
      <c r="F499" s="0" t="s">
        <v>141</v>
      </c>
      <c r="G499" s="0" t="s">
        <v>192</v>
      </c>
      <c r="H499" s="6" t="n">
        <f aca="false">'Export-dataset'!AY11</f>
        <v>1256</v>
      </c>
    </row>
    <row r="500" customFormat="false" ht="15" hidden="false" customHeight="false" outlineLevel="0" collapsed="false">
      <c r="A500" s="0" t="s">
        <v>61</v>
      </c>
      <c r="B500" s="0" t="n">
        <v>2024</v>
      </c>
      <c r="C500" s="0" t="s">
        <v>415</v>
      </c>
      <c r="D500" s="0" t="s">
        <v>319</v>
      </c>
      <c r="E500" s="0" t="s">
        <v>416</v>
      </c>
      <c r="F500" s="0" t="s">
        <v>141</v>
      </c>
      <c r="G500" s="0" t="s">
        <v>192</v>
      </c>
      <c r="H500" s="6" t="n">
        <f aca="false">'Export-dataset'!AY12</f>
        <v>1332</v>
      </c>
    </row>
    <row r="501" customFormat="false" ht="15" hidden="false" customHeight="false" outlineLevel="0" collapsed="false">
      <c r="A501" s="0" t="s">
        <v>61</v>
      </c>
      <c r="B501" s="0" t="n">
        <v>2025</v>
      </c>
      <c r="C501" s="0" t="s">
        <v>415</v>
      </c>
      <c r="D501" s="0" t="s">
        <v>319</v>
      </c>
      <c r="E501" s="0" t="s">
        <v>416</v>
      </c>
      <c r="F501" s="0" t="s">
        <v>141</v>
      </c>
      <c r="G501" s="0" t="s">
        <v>192</v>
      </c>
      <c r="H501" s="6" t="n">
        <f aca="false">'Export-dataset'!AY13</f>
        <v>1054</v>
      </c>
    </row>
    <row r="502" customFormat="false" ht="15" hidden="false" customHeight="false" outlineLevel="0" collapsed="false">
      <c r="A502" s="0" t="s">
        <v>61</v>
      </c>
      <c r="B502" s="0" t="n">
        <v>2016</v>
      </c>
      <c r="C502" s="0" t="s">
        <v>417</v>
      </c>
      <c r="D502" s="0" t="s">
        <v>319</v>
      </c>
      <c r="E502" s="0" t="s">
        <v>418</v>
      </c>
      <c r="F502" s="0" t="s">
        <v>141</v>
      </c>
      <c r="G502" s="0" t="s">
        <v>193</v>
      </c>
      <c r="H502" s="6" t="n">
        <f aca="false">'Export-dataset'!AZ4</f>
        <v>8842</v>
      </c>
    </row>
    <row r="503" customFormat="false" ht="15" hidden="false" customHeight="false" outlineLevel="0" collapsed="false">
      <c r="A503" s="0" t="s">
        <v>61</v>
      </c>
      <c r="B503" s="0" t="n">
        <v>2017</v>
      </c>
      <c r="C503" s="0" t="s">
        <v>417</v>
      </c>
      <c r="D503" s="0" t="s">
        <v>319</v>
      </c>
      <c r="E503" s="0" t="s">
        <v>418</v>
      </c>
      <c r="F503" s="0" t="s">
        <v>141</v>
      </c>
      <c r="G503" s="0" t="s">
        <v>193</v>
      </c>
      <c r="H503" s="6" t="n">
        <f aca="false">'Export-dataset'!AZ5</f>
        <v>9957</v>
      </c>
    </row>
    <row r="504" customFormat="false" ht="15" hidden="false" customHeight="false" outlineLevel="0" collapsed="false">
      <c r="A504" s="0" t="s">
        <v>61</v>
      </c>
      <c r="B504" s="0" t="n">
        <v>2018</v>
      </c>
      <c r="C504" s="0" t="s">
        <v>417</v>
      </c>
      <c r="D504" s="0" t="s">
        <v>319</v>
      </c>
      <c r="E504" s="0" t="s">
        <v>418</v>
      </c>
      <c r="F504" s="0" t="s">
        <v>141</v>
      </c>
      <c r="G504" s="0" t="s">
        <v>193</v>
      </c>
      <c r="H504" s="6" t="n">
        <f aca="false">'Export-dataset'!AZ6</f>
        <v>11823</v>
      </c>
    </row>
    <row r="505" customFormat="false" ht="15" hidden="false" customHeight="false" outlineLevel="0" collapsed="false">
      <c r="A505" s="0" t="s">
        <v>61</v>
      </c>
      <c r="B505" s="0" t="n">
        <v>2019</v>
      </c>
      <c r="C505" s="0" t="s">
        <v>417</v>
      </c>
      <c r="D505" s="0" t="s">
        <v>319</v>
      </c>
      <c r="E505" s="0" t="s">
        <v>418</v>
      </c>
      <c r="F505" s="0" t="s">
        <v>141</v>
      </c>
      <c r="G505" s="0" t="s">
        <v>193</v>
      </c>
      <c r="H505" s="6" t="n">
        <f aca="false">'Export-dataset'!AZ7</f>
        <v>11999</v>
      </c>
    </row>
    <row r="506" customFormat="false" ht="15" hidden="false" customHeight="false" outlineLevel="0" collapsed="false">
      <c r="A506" s="0" t="s">
        <v>61</v>
      </c>
      <c r="B506" s="0" t="n">
        <v>2020</v>
      </c>
      <c r="C506" s="0" t="s">
        <v>417</v>
      </c>
      <c r="D506" s="0" t="s">
        <v>319</v>
      </c>
      <c r="E506" s="0" t="s">
        <v>418</v>
      </c>
      <c r="F506" s="0" t="s">
        <v>141</v>
      </c>
      <c r="G506" s="0" t="s">
        <v>193</v>
      </c>
      <c r="H506" s="6" t="n">
        <f aca="false">'Export-dataset'!AZ8</f>
        <v>10215</v>
      </c>
    </row>
    <row r="507" customFormat="false" ht="15" hidden="false" customHeight="false" outlineLevel="0" collapsed="false">
      <c r="A507" s="0" t="s">
        <v>61</v>
      </c>
      <c r="B507" s="0" t="n">
        <v>2021</v>
      </c>
      <c r="C507" s="0" t="s">
        <v>417</v>
      </c>
      <c r="D507" s="0" t="s">
        <v>319</v>
      </c>
      <c r="E507" s="0" t="s">
        <v>418</v>
      </c>
      <c r="F507" s="0" t="s">
        <v>141</v>
      </c>
      <c r="G507" s="0" t="s">
        <v>193</v>
      </c>
      <c r="H507" s="6" t="n">
        <f aca="false">'Export-dataset'!AZ9</f>
        <v>12328</v>
      </c>
    </row>
    <row r="508" customFormat="false" ht="15" hidden="false" customHeight="false" outlineLevel="0" collapsed="false">
      <c r="A508" s="0" t="s">
        <v>61</v>
      </c>
      <c r="B508" s="0" t="n">
        <v>2022</v>
      </c>
      <c r="C508" s="0" t="s">
        <v>417</v>
      </c>
      <c r="D508" s="0" t="s">
        <v>319</v>
      </c>
      <c r="E508" s="0" t="s">
        <v>418</v>
      </c>
      <c r="F508" s="0" t="s">
        <v>141</v>
      </c>
      <c r="G508" s="0" t="s">
        <v>193</v>
      </c>
      <c r="H508" s="6" t="n">
        <f aca="false">'Export-dataset'!AZ10</f>
        <v>14078</v>
      </c>
    </row>
    <row r="509" customFormat="false" ht="15" hidden="false" customHeight="false" outlineLevel="0" collapsed="false">
      <c r="A509" s="0" t="s">
        <v>61</v>
      </c>
      <c r="B509" s="0" t="n">
        <v>2023</v>
      </c>
      <c r="C509" s="0" t="s">
        <v>417</v>
      </c>
      <c r="D509" s="0" t="s">
        <v>319</v>
      </c>
      <c r="E509" s="0" t="s">
        <v>418</v>
      </c>
      <c r="F509" s="0" t="s">
        <v>141</v>
      </c>
      <c r="G509" s="0" t="s">
        <v>193</v>
      </c>
      <c r="H509" s="6" t="n">
        <f aca="false">'Export-dataset'!AZ11</f>
        <v>13950</v>
      </c>
    </row>
    <row r="510" customFormat="false" ht="15" hidden="false" customHeight="false" outlineLevel="0" collapsed="false">
      <c r="A510" s="0" t="s">
        <v>61</v>
      </c>
      <c r="B510" s="0" t="n">
        <v>2024</v>
      </c>
      <c r="C510" s="0" t="s">
        <v>417</v>
      </c>
      <c r="D510" s="0" t="s">
        <v>319</v>
      </c>
      <c r="E510" s="0" t="s">
        <v>418</v>
      </c>
      <c r="F510" s="0" t="s">
        <v>141</v>
      </c>
      <c r="G510" s="0" t="s">
        <v>193</v>
      </c>
      <c r="H510" s="6" t="n">
        <f aca="false">'Export-dataset'!AZ12</f>
        <v>15294</v>
      </c>
    </row>
    <row r="511" customFormat="false" ht="15" hidden="false" customHeight="false" outlineLevel="0" collapsed="false">
      <c r="A511" s="0" t="s">
        <v>61</v>
      </c>
      <c r="B511" s="0" t="n">
        <v>2025</v>
      </c>
      <c r="C511" s="0" t="s">
        <v>417</v>
      </c>
      <c r="D511" s="0" t="s">
        <v>319</v>
      </c>
      <c r="E511" s="0" t="s">
        <v>418</v>
      </c>
      <c r="F511" s="0" t="s">
        <v>141</v>
      </c>
      <c r="G511" s="0" t="s">
        <v>193</v>
      </c>
      <c r="H511" s="6" t="n">
        <f aca="false">'Export-dataset'!AZ13</f>
        <v>17943</v>
      </c>
    </row>
    <row r="512" customFormat="false" ht="15" hidden="false" customHeight="false" outlineLevel="0" collapsed="false">
      <c r="A512" s="0" t="s">
        <v>61</v>
      </c>
      <c r="B512" s="0" t="n">
        <v>2016</v>
      </c>
      <c r="C512" s="0" t="s">
        <v>419</v>
      </c>
      <c r="D512" s="0" t="s">
        <v>319</v>
      </c>
      <c r="E512" s="0" t="s">
        <v>420</v>
      </c>
      <c r="F512" s="0" t="s">
        <v>141</v>
      </c>
      <c r="G512" s="0" t="s">
        <v>194</v>
      </c>
      <c r="H512" s="6" t="n">
        <f aca="false">'Export-dataset'!BA4</f>
        <v>1107</v>
      </c>
    </row>
    <row r="513" customFormat="false" ht="15" hidden="false" customHeight="false" outlineLevel="0" collapsed="false">
      <c r="A513" s="0" t="s">
        <v>61</v>
      </c>
      <c r="B513" s="0" t="n">
        <v>2017</v>
      </c>
      <c r="C513" s="0" t="s">
        <v>419</v>
      </c>
      <c r="D513" s="0" t="s">
        <v>319</v>
      </c>
      <c r="E513" s="0" t="s">
        <v>420</v>
      </c>
      <c r="F513" s="0" t="s">
        <v>141</v>
      </c>
      <c r="G513" s="0" t="s">
        <v>194</v>
      </c>
      <c r="H513" s="6" t="n">
        <f aca="false">'Export-dataset'!BA5</f>
        <v>1114</v>
      </c>
    </row>
    <row r="514" customFormat="false" ht="15" hidden="false" customHeight="false" outlineLevel="0" collapsed="false">
      <c r="A514" s="0" t="s">
        <v>61</v>
      </c>
      <c r="B514" s="0" t="n">
        <v>2018</v>
      </c>
      <c r="C514" s="0" t="s">
        <v>419</v>
      </c>
      <c r="D514" s="0" t="s">
        <v>319</v>
      </c>
      <c r="E514" s="0" t="s">
        <v>420</v>
      </c>
      <c r="F514" s="0" t="s">
        <v>141</v>
      </c>
      <c r="G514" s="0" t="s">
        <v>194</v>
      </c>
      <c r="H514" s="6" t="n">
        <f aca="false">'Export-dataset'!BA6</f>
        <v>1265</v>
      </c>
    </row>
    <row r="515" customFormat="false" ht="15" hidden="false" customHeight="false" outlineLevel="0" collapsed="false">
      <c r="A515" s="0" t="s">
        <v>61</v>
      </c>
      <c r="B515" s="0" t="n">
        <v>2019</v>
      </c>
      <c r="C515" s="0" t="s">
        <v>419</v>
      </c>
      <c r="D515" s="0" t="s">
        <v>319</v>
      </c>
      <c r="E515" s="0" t="s">
        <v>420</v>
      </c>
      <c r="F515" s="0" t="s">
        <v>141</v>
      </c>
      <c r="G515" s="0" t="s">
        <v>194</v>
      </c>
      <c r="H515" s="6" t="n">
        <f aca="false">'Export-dataset'!BA7</f>
        <v>1372</v>
      </c>
    </row>
    <row r="516" customFormat="false" ht="15" hidden="false" customHeight="false" outlineLevel="0" collapsed="false">
      <c r="A516" s="0" t="s">
        <v>61</v>
      </c>
      <c r="B516" s="0" t="n">
        <v>2020</v>
      </c>
      <c r="C516" s="0" t="s">
        <v>419</v>
      </c>
      <c r="D516" s="0" t="s">
        <v>319</v>
      </c>
      <c r="E516" s="0" t="s">
        <v>420</v>
      </c>
      <c r="F516" s="0" t="s">
        <v>141</v>
      </c>
      <c r="G516" s="0" t="s">
        <v>194</v>
      </c>
      <c r="H516" s="6" t="n">
        <f aca="false">'Export-dataset'!BA8</f>
        <v>1154</v>
      </c>
    </row>
    <row r="517" customFormat="false" ht="15" hidden="false" customHeight="false" outlineLevel="0" collapsed="false">
      <c r="A517" s="0" t="s">
        <v>61</v>
      </c>
      <c r="B517" s="0" t="n">
        <v>2021</v>
      </c>
      <c r="C517" s="0" t="s">
        <v>419</v>
      </c>
      <c r="D517" s="0" t="s">
        <v>319</v>
      </c>
      <c r="E517" s="0" t="s">
        <v>420</v>
      </c>
      <c r="F517" s="0" t="s">
        <v>141</v>
      </c>
      <c r="G517" s="0" t="s">
        <v>194</v>
      </c>
      <c r="H517" s="6" t="n">
        <f aca="false">'Export-dataset'!BA9</f>
        <v>1220</v>
      </c>
    </row>
    <row r="518" customFormat="false" ht="15" hidden="false" customHeight="false" outlineLevel="0" collapsed="false">
      <c r="A518" s="0" t="s">
        <v>61</v>
      </c>
      <c r="B518" s="0" t="n">
        <v>2022</v>
      </c>
      <c r="C518" s="0" t="s">
        <v>419</v>
      </c>
      <c r="D518" s="0" t="s">
        <v>319</v>
      </c>
      <c r="E518" s="0" t="s">
        <v>420</v>
      </c>
      <c r="F518" s="0" t="s">
        <v>141</v>
      </c>
      <c r="G518" s="0" t="s">
        <v>194</v>
      </c>
      <c r="H518" s="6" t="n">
        <f aca="false">'Export-dataset'!BA10</f>
        <v>1430</v>
      </c>
    </row>
    <row r="519" customFormat="false" ht="15" hidden="false" customHeight="false" outlineLevel="0" collapsed="false">
      <c r="A519" s="0" t="s">
        <v>61</v>
      </c>
      <c r="B519" s="0" t="n">
        <v>2023</v>
      </c>
      <c r="C519" s="0" t="s">
        <v>419</v>
      </c>
      <c r="D519" s="0" t="s">
        <v>319</v>
      </c>
      <c r="E519" s="0" t="s">
        <v>420</v>
      </c>
      <c r="F519" s="0" t="s">
        <v>141</v>
      </c>
      <c r="G519" s="0" t="s">
        <v>194</v>
      </c>
      <c r="H519" s="6" t="n">
        <f aca="false">'Export-dataset'!BA11</f>
        <v>1442</v>
      </c>
    </row>
    <row r="520" customFormat="false" ht="15" hidden="false" customHeight="false" outlineLevel="0" collapsed="false">
      <c r="A520" s="0" t="s">
        <v>61</v>
      </c>
      <c r="B520" s="0" t="n">
        <v>2024</v>
      </c>
      <c r="C520" s="0" t="s">
        <v>419</v>
      </c>
      <c r="D520" s="0" t="s">
        <v>319</v>
      </c>
      <c r="E520" s="0" t="s">
        <v>420</v>
      </c>
      <c r="F520" s="0" t="s">
        <v>141</v>
      </c>
      <c r="G520" s="0" t="s">
        <v>194</v>
      </c>
      <c r="H520" s="6" t="n">
        <f aca="false">'Export-dataset'!BA12</f>
        <v>1476</v>
      </c>
    </row>
    <row r="521" customFormat="false" ht="15" hidden="false" customHeight="false" outlineLevel="0" collapsed="false">
      <c r="A521" s="0" t="s">
        <v>61</v>
      </c>
      <c r="B521" s="0" t="n">
        <v>2025</v>
      </c>
      <c r="C521" s="0" t="s">
        <v>419</v>
      </c>
      <c r="D521" s="0" t="s">
        <v>319</v>
      </c>
      <c r="E521" s="0" t="s">
        <v>420</v>
      </c>
      <c r="F521" s="0" t="s">
        <v>141</v>
      </c>
      <c r="G521" s="0" t="s">
        <v>194</v>
      </c>
      <c r="H521" s="6" t="n">
        <f aca="false">'Export-dataset'!BA13</f>
        <v>1465</v>
      </c>
    </row>
    <row r="522" customFormat="false" ht="15" hidden="false" customHeight="false" outlineLevel="0" collapsed="false">
      <c r="A522" s="0" t="s">
        <v>61</v>
      </c>
      <c r="B522" s="0" t="n">
        <v>2016</v>
      </c>
      <c r="C522" s="0" t="s">
        <v>421</v>
      </c>
      <c r="D522" s="0" t="s">
        <v>316</v>
      </c>
      <c r="E522" s="0" t="s">
        <v>422</v>
      </c>
      <c r="F522" s="0" t="s">
        <v>141</v>
      </c>
      <c r="G522" s="0" t="s">
        <v>195</v>
      </c>
      <c r="H522" s="6" t="n">
        <f aca="false">'Export-dataset'!BB4</f>
        <v>15387</v>
      </c>
    </row>
    <row r="523" customFormat="false" ht="15" hidden="false" customHeight="false" outlineLevel="0" collapsed="false">
      <c r="A523" s="0" t="s">
        <v>61</v>
      </c>
      <c r="B523" s="0" t="n">
        <v>2017</v>
      </c>
      <c r="C523" s="0" t="s">
        <v>421</v>
      </c>
      <c r="D523" s="0" t="s">
        <v>316</v>
      </c>
      <c r="E523" s="0" t="s">
        <v>422</v>
      </c>
      <c r="F523" s="0" t="s">
        <v>141</v>
      </c>
      <c r="G523" s="0" t="s">
        <v>195</v>
      </c>
      <c r="H523" s="6" t="n">
        <f aca="false">'Export-dataset'!BB5</f>
        <v>14638</v>
      </c>
    </row>
    <row r="524" customFormat="false" ht="15" hidden="false" customHeight="false" outlineLevel="0" collapsed="false">
      <c r="A524" s="0" t="s">
        <v>61</v>
      </c>
      <c r="B524" s="0" t="n">
        <v>2018</v>
      </c>
      <c r="C524" s="0" t="s">
        <v>421</v>
      </c>
      <c r="D524" s="0" t="s">
        <v>316</v>
      </c>
      <c r="E524" s="0" t="s">
        <v>422</v>
      </c>
      <c r="F524" s="0" t="s">
        <v>141</v>
      </c>
      <c r="G524" s="0" t="s">
        <v>195</v>
      </c>
      <c r="H524" s="6" t="n">
        <f aca="false">'Export-dataset'!BB6</f>
        <v>15352</v>
      </c>
    </row>
    <row r="525" customFormat="false" ht="15" hidden="false" customHeight="false" outlineLevel="0" collapsed="false">
      <c r="A525" s="0" t="s">
        <v>61</v>
      </c>
      <c r="B525" s="0" t="n">
        <v>2019</v>
      </c>
      <c r="C525" s="0" t="s">
        <v>421</v>
      </c>
      <c r="D525" s="0" t="s">
        <v>316</v>
      </c>
      <c r="E525" s="0" t="s">
        <v>422</v>
      </c>
      <c r="F525" s="0" t="s">
        <v>141</v>
      </c>
      <c r="G525" s="0" t="s">
        <v>195</v>
      </c>
      <c r="H525" s="6" t="n">
        <f aca="false">'Export-dataset'!BB7</f>
        <v>16992</v>
      </c>
    </row>
    <row r="526" customFormat="false" ht="15" hidden="false" customHeight="false" outlineLevel="0" collapsed="false">
      <c r="A526" s="0" t="s">
        <v>61</v>
      </c>
      <c r="B526" s="0" t="n">
        <v>2020</v>
      </c>
      <c r="C526" s="0" t="s">
        <v>421</v>
      </c>
      <c r="D526" s="0" t="s">
        <v>316</v>
      </c>
      <c r="E526" s="0" t="s">
        <v>422</v>
      </c>
      <c r="F526" s="0" t="s">
        <v>141</v>
      </c>
      <c r="G526" s="0" t="s">
        <v>195</v>
      </c>
      <c r="H526" s="6" t="n">
        <f aca="false">'Export-dataset'!BB8</f>
        <v>14678</v>
      </c>
    </row>
    <row r="527" customFormat="false" ht="15" hidden="false" customHeight="false" outlineLevel="0" collapsed="false">
      <c r="A527" s="0" t="s">
        <v>61</v>
      </c>
      <c r="B527" s="0" t="n">
        <v>2021</v>
      </c>
      <c r="C527" s="0" t="s">
        <v>421</v>
      </c>
      <c r="D527" s="0" t="s">
        <v>316</v>
      </c>
      <c r="E527" s="0" t="s">
        <v>422</v>
      </c>
      <c r="F527" s="0" t="s">
        <v>141</v>
      </c>
      <c r="G527" s="0" t="s">
        <v>195</v>
      </c>
      <c r="H527" s="6" t="n">
        <f aca="false">'Export-dataset'!BB9</f>
        <v>14728</v>
      </c>
    </row>
    <row r="528" customFormat="false" ht="15" hidden="false" customHeight="false" outlineLevel="0" collapsed="false">
      <c r="A528" s="0" t="s">
        <v>61</v>
      </c>
      <c r="B528" s="0" t="n">
        <v>2022</v>
      </c>
      <c r="C528" s="0" t="s">
        <v>421</v>
      </c>
      <c r="D528" s="0" t="s">
        <v>316</v>
      </c>
      <c r="E528" s="0" t="s">
        <v>422</v>
      </c>
      <c r="F528" s="0" t="s">
        <v>141</v>
      </c>
      <c r="G528" s="0" t="s">
        <v>195</v>
      </c>
      <c r="H528" s="6" t="n">
        <f aca="false">'Export-dataset'!BB10</f>
        <v>16516</v>
      </c>
    </row>
    <row r="529" customFormat="false" ht="15" hidden="false" customHeight="false" outlineLevel="0" collapsed="false">
      <c r="A529" s="0" t="s">
        <v>61</v>
      </c>
      <c r="B529" s="0" t="n">
        <v>2023</v>
      </c>
      <c r="C529" s="0" t="s">
        <v>421</v>
      </c>
      <c r="D529" s="0" t="s">
        <v>316</v>
      </c>
      <c r="E529" s="0" t="s">
        <v>422</v>
      </c>
      <c r="F529" s="0" t="s">
        <v>141</v>
      </c>
      <c r="G529" s="0" t="s">
        <v>195</v>
      </c>
      <c r="H529" s="6" t="n">
        <f aca="false">'Export-dataset'!BB11</f>
        <v>18604</v>
      </c>
    </row>
    <row r="530" customFormat="false" ht="15" hidden="false" customHeight="false" outlineLevel="0" collapsed="false">
      <c r="A530" s="0" t="s">
        <v>61</v>
      </c>
      <c r="B530" s="0" t="n">
        <v>2024</v>
      </c>
      <c r="C530" s="0" t="s">
        <v>421</v>
      </c>
      <c r="D530" s="0" t="s">
        <v>316</v>
      </c>
      <c r="E530" s="0" t="s">
        <v>422</v>
      </c>
      <c r="F530" s="0" t="s">
        <v>141</v>
      </c>
      <c r="G530" s="0" t="s">
        <v>195</v>
      </c>
      <c r="H530" s="6" t="n">
        <f aca="false">'Export-dataset'!BB12</f>
        <v>20484</v>
      </c>
    </row>
    <row r="531" customFormat="false" ht="15" hidden="false" customHeight="false" outlineLevel="0" collapsed="false">
      <c r="A531" s="0" t="s">
        <v>61</v>
      </c>
      <c r="B531" s="0" t="n">
        <v>2025</v>
      </c>
      <c r="C531" s="0" t="s">
        <v>421</v>
      </c>
      <c r="D531" s="0" t="s">
        <v>316</v>
      </c>
      <c r="E531" s="0" t="s">
        <v>422</v>
      </c>
      <c r="F531" s="0" t="s">
        <v>141</v>
      </c>
      <c r="G531" s="0" t="s">
        <v>195</v>
      </c>
      <c r="H531" s="6" t="n">
        <f aca="false">'Export-dataset'!BB13</f>
        <v>22210</v>
      </c>
    </row>
    <row r="532" customFormat="false" ht="15" hidden="false" customHeight="false" outlineLevel="0" collapsed="false">
      <c r="A532" s="0" t="s">
        <v>61</v>
      </c>
      <c r="B532" s="0" t="n">
        <v>2016</v>
      </c>
      <c r="C532" s="0" t="s">
        <v>423</v>
      </c>
      <c r="D532" s="0" t="s">
        <v>319</v>
      </c>
      <c r="E532" s="0" t="s">
        <v>424</v>
      </c>
      <c r="F532" s="0" t="s">
        <v>141</v>
      </c>
      <c r="G532" s="0" t="s">
        <v>196</v>
      </c>
      <c r="H532" s="6" t="n">
        <f aca="false">'Export-dataset'!BC4</f>
        <v>872</v>
      </c>
    </row>
    <row r="533" customFormat="false" ht="15" hidden="false" customHeight="false" outlineLevel="0" collapsed="false">
      <c r="A533" s="0" t="s">
        <v>61</v>
      </c>
      <c r="B533" s="0" t="n">
        <v>2017</v>
      </c>
      <c r="C533" s="0" t="s">
        <v>423</v>
      </c>
      <c r="D533" s="0" t="s">
        <v>319</v>
      </c>
      <c r="E533" s="0" t="s">
        <v>424</v>
      </c>
      <c r="F533" s="0" t="s">
        <v>141</v>
      </c>
      <c r="G533" s="0" t="s">
        <v>196</v>
      </c>
      <c r="H533" s="6" t="n">
        <f aca="false">'Export-dataset'!BC5</f>
        <v>742</v>
      </c>
    </row>
    <row r="534" customFormat="false" ht="15" hidden="false" customHeight="false" outlineLevel="0" collapsed="false">
      <c r="A534" s="0" t="s">
        <v>61</v>
      </c>
      <c r="B534" s="0" t="n">
        <v>2018</v>
      </c>
      <c r="C534" s="0" t="s">
        <v>423</v>
      </c>
      <c r="D534" s="0" t="s">
        <v>319</v>
      </c>
      <c r="E534" s="0" t="s">
        <v>424</v>
      </c>
      <c r="F534" s="0" t="s">
        <v>141</v>
      </c>
      <c r="G534" s="0" t="s">
        <v>196</v>
      </c>
      <c r="H534" s="6" t="n">
        <f aca="false">'Export-dataset'!BC6</f>
        <v>939</v>
      </c>
    </row>
    <row r="535" customFormat="false" ht="15" hidden="false" customHeight="false" outlineLevel="0" collapsed="false">
      <c r="A535" s="0" t="s">
        <v>61</v>
      </c>
      <c r="B535" s="0" t="n">
        <v>2019</v>
      </c>
      <c r="C535" s="0" t="s">
        <v>423</v>
      </c>
      <c r="D535" s="0" t="s">
        <v>319</v>
      </c>
      <c r="E535" s="0" t="s">
        <v>424</v>
      </c>
      <c r="F535" s="0" t="s">
        <v>141</v>
      </c>
      <c r="G535" s="0" t="s">
        <v>196</v>
      </c>
      <c r="H535" s="6" t="n">
        <f aca="false">'Export-dataset'!BC7</f>
        <v>1064</v>
      </c>
    </row>
    <row r="536" customFormat="false" ht="15" hidden="false" customHeight="false" outlineLevel="0" collapsed="false">
      <c r="A536" s="0" t="s">
        <v>61</v>
      </c>
      <c r="B536" s="0" t="n">
        <v>2020</v>
      </c>
      <c r="C536" s="0" t="s">
        <v>423</v>
      </c>
      <c r="D536" s="0" t="s">
        <v>319</v>
      </c>
      <c r="E536" s="0" t="s">
        <v>424</v>
      </c>
      <c r="F536" s="0" t="s">
        <v>141</v>
      </c>
      <c r="G536" s="0" t="s">
        <v>196</v>
      </c>
      <c r="H536" s="6" t="n">
        <f aca="false">'Export-dataset'!BC8</f>
        <v>1068</v>
      </c>
    </row>
    <row r="537" customFormat="false" ht="15" hidden="false" customHeight="false" outlineLevel="0" collapsed="false">
      <c r="A537" s="0" t="s">
        <v>61</v>
      </c>
      <c r="B537" s="0" t="n">
        <v>2021</v>
      </c>
      <c r="C537" s="0" t="s">
        <v>423</v>
      </c>
      <c r="D537" s="0" t="s">
        <v>319</v>
      </c>
      <c r="E537" s="0" t="s">
        <v>424</v>
      </c>
      <c r="F537" s="0" t="s">
        <v>141</v>
      </c>
      <c r="G537" s="0" t="s">
        <v>196</v>
      </c>
      <c r="H537" s="6" t="n">
        <f aca="false">'Export-dataset'!BC9</f>
        <v>872</v>
      </c>
    </row>
    <row r="538" customFormat="false" ht="15" hidden="false" customHeight="false" outlineLevel="0" collapsed="false">
      <c r="A538" s="0" t="s">
        <v>61</v>
      </c>
      <c r="B538" s="0" t="n">
        <v>2022</v>
      </c>
      <c r="C538" s="0" t="s">
        <v>423</v>
      </c>
      <c r="D538" s="0" t="s">
        <v>319</v>
      </c>
      <c r="E538" s="0" t="s">
        <v>424</v>
      </c>
      <c r="F538" s="0" t="s">
        <v>141</v>
      </c>
      <c r="G538" s="0" t="s">
        <v>196</v>
      </c>
      <c r="H538" s="6" t="n">
        <f aca="false">'Export-dataset'!BC10</f>
        <v>1027</v>
      </c>
    </row>
    <row r="539" customFormat="false" ht="15" hidden="false" customHeight="false" outlineLevel="0" collapsed="false">
      <c r="A539" s="0" t="s">
        <v>61</v>
      </c>
      <c r="B539" s="0" t="n">
        <v>2023</v>
      </c>
      <c r="C539" s="0" t="s">
        <v>423</v>
      </c>
      <c r="D539" s="0" t="s">
        <v>319</v>
      </c>
      <c r="E539" s="0" t="s">
        <v>424</v>
      </c>
      <c r="F539" s="0" t="s">
        <v>141</v>
      </c>
      <c r="G539" s="0" t="s">
        <v>196</v>
      </c>
      <c r="H539" s="6" t="n">
        <f aca="false">'Export-dataset'!BC11</f>
        <v>1303</v>
      </c>
    </row>
    <row r="540" customFormat="false" ht="15" hidden="false" customHeight="false" outlineLevel="0" collapsed="false">
      <c r="A540" s="0" t="s">
        <v>61</v>
      </c>
      <c r="B540" s="0" t="n">
        <v>2024</v>
      </c>
      <c r="C540" s="0" t="s">
        <v>423</v>
      </c>
      <c r="D540" s="0" t="s">
        <v>319</v>
      </c>
      <c r="E540" s="0" t="s">
        <v>424</v>
      </c>
      <c r="F540" s="0" t="s">
        <v>141</v>
      </c>
      <c r="G540" s="0" t="s">
        <v>196</v>
      </c>
      <c r="H540" s="6" t="n">
        <f aca="false">'Export-dataset'!BC12</f>
        <v>1377</v>
      </c>
    </row>
    <row r="541" customFormat="false" ht="15" hidden="false" customHeight="false" outlineLevel="0" collapsed="false">
      <c r="A541" s="0" t="s">
        <v>61</v>
      </c>
      <c r="B541" s="0" t="n">
        <v>2025</v>
      </c>
      <c r="C541" s="0" t="s">
        <v>423</v>
      </c>
      <c r="D541" s="0" t="s">
        <v>319</v>
      </c>
      <c r="E541" s="0" t="s">
        <v>424</v>
      </c>
      <c r="F541" s="0" t="s">
        <v>141</v>
      </c>
      <c r="G541" s="0" t="s">
        <v>196</v>
      </c>
      <c r="H541" s="6" t="n">
        <f aca="false">'Export-dataset'!BC13</f>
        <v>1598</v>
      </c>
    </row>
    <row r="542" customFormat="false" ht="15" hidden="false" customHeight="false" outlineLevel="0" collapsed="false">
      <c r="A542" s="0" t="s">
        <v>61</v>
      </c>
      <c r="B542" s="0" t="n">
        <v>2016</v>
      </c>
      <c r="C542" s="0" t="s">
        <v>425</v>
      </c>
      <c r="D542" s="0" t="s">
        <v>319</v>
      </c>
      <c r="E542" s="0" t="s">
        <v>426</v>
      </c>
      <c r="F542" s="0" t="s">
        <v>141</v>
      </c>
      <c r="G542" s="0" t="s">
        <v>197</v>
      </c>
      <c r="H542" s="6" t="n">
        <f aca="false">'Export-dataset'!BD4</f>
        <v>1872</v>
      </c>
    </row>
    <row r="543" customFormat="false" ht="15" hidden="false" customHeight="false" outlineLevel="0" collapsed="false">
      <c r="A543" s="0" t="s">
        <v>61</v>
      </c>
      <c r="B543" s="0" t="n">
        <v>2017</v>
      </c>
      <c r="C543" s="0" t="s">
        <v>425</v>
      </c>
      <c r="D543" s="0" t="s">
        <v>319</v>
      </c>
      <c r="E543" s="0" t="s">
        <v>426</v>
      </c>
      <c r="F543" s="0" t="s">
        <v>141</v>
      </c>
      <c r="G543" s="0" t="s">
        <v>197</v>
      </c>
      <c r="H543" s="6" t="n">
        <f aca="false">'Export-dataset'!BD5</f>
        <v>1886</v>
      </c>
    </row>
    <row r="544" customFormat="false" ht="15" hidden="false" customHeight="false" outlineLevel="0" collapsed="false">
      <c r="A544" s="0" t="s">
        <v>61</v>
      </c>
      <c r="B544" s="0" t="n">
        <v>2018</v>
      </c>
      <c r="C544" s="0" t="s">
        <v>425</v>
      </c>
      <c r="D544" s="0" t="s">
        <v>319</v>
      </c>
      <c r="E544" s="0" t="s">
        <v>426</v>
      </c>
      <c r="F544" s="0" t="s">
        <v>141</v>
      </c>
      <c r="G544" s="0" t="s">
        <v>197</v>
      </c>
      <c r="H544" s="6" t="n">
        <f aca="false">'Export-dataset'!BD6</f>
        <v>1833</v>
      </c>
    </row>
    <row r="545" customFormat="false" ht="15" hidden="false" customHeight="false" outlineLevel="0" collapsed="false">
      <c r="A545" s="0" t="s">
        <v>61</v>
      </c>
      <c r="B545" s="0" t="n">
        <v>2019</v>
      </c>
      <c r="C545" s="0" t="s">
        <v>425</v>
      </c>
      <c r="D545" s="0" t="s">
        <v>319</v>
      </c>
      <c r="E545" s="0" t="s">
        <v>426</v>
      </c>
      <c r="F545" s="0" t="s">
        <v>141</v>
      </c>
      <c r="G545" s="0" t="s">
        <v>197</v>
      </c>
      <c r="H545" s="6" t="n">
        <f aca="false">'Export-dataset'!BD7</f>
        <v>1961</v>
      </c>
    </row>
    <row r="546" customFormat="false" ht="15" hidden="false" customHeight="false" outlineLevel="0" collapsed="false">
      <c r="A546" s="0" t="s">
        <v>61</v>
      </c>
      <c r="B546" s="0" t="n">
        <v>2020</v>
      </c>
      <c r="C546" s="0" t="s">
        <v>425</v>
      </c>
      <c r="D546" s="0" t="s">
        <v>319</v>
      </c>
      <c r="E546" s="0" t="s">
        <v>426</v>
      </c>
      <c r="F546" s="0" t="s">
        <v>141</v>
      </c>
      <c r="G546" s="0" t="s">
        <v>197</v>
      </c>
      <c r="H546" s="6" t="n">
        <f aca="false">'Export-dataset'!BD8</f>
        <v>1769</v>
      </c>
    </row>
    <row r="547" customFormat="false" ht="15" hidden="false" customHeight="false" outlineLevel="0" collapsed="false">
      <c r="A547" s="0" t="s">
        <v>61</v>
      </c>
      <c r="B547" s="0" t="n">
        <v>2021</v>
      </c>
      <c r="C547" s="0" t="s">
        <v>425</v>
      </c>
      <c r="D547" s="0" t="s">
        <v>319</v>
      </c>
      <c r="E547" s="0" t="s">
        <v>426</v>
      </c>
      <c r="F547" s="0" t="s">
        <v>141</v>
      </c>
      <c r="G547" s="0" t="s">
        <v>197</v>
      </c>
      <c r="H547" s="6" t="n">
        <f aca="false">'Export-dataset'!BD9</f>
        <v>1678</v>
      </c>
    </row>
    <row r="548" customFormat="false" ht="15" hidden="false" customHeight="false" outlineLevel="0" collapsed="false">
      <c r="A548" s="0" t="s">
        <v>61</v>
      </c>
      <c r="B548" s="0" t="n">
        <v>2022</v>
      </c>
      <c r="C548" s="0" t="s">
        <v>425</v>
      </c>
      <c r="D548" s="0" t="s">
        <v>319</v>
      </c>
      <c r="E548" s="0" t="s">
        <v>426</v>
      </c>
      <c r="F548" s="0" t="s">
        <v>141</v>
      </c>
      <c r="G548" s="0" t="s">
        <v>197</v>
      </c>
      <c r="H548" s="6" t="n">
        <f aca="false">'Export-dataset'!BD10</f>
        <v>1911</v>
      </c>
    </row>
    <row r="549" customFormat="false" ht="15" hidden="false" customHeight="false" outlineLevel="0" collapsed="false">
      <c r="A549" s="0" t="s">
        <v>61</v>
      </c>
      <c r="B549" s="0" t="n">
        <v>2023</v>
      </c>
      <c r="C549" s="0" t="s">
        <v>425</v>
      </c>
      <c r="D549" s="0" t="s">
        <v>319</v>
      </c>
      <c r="E549" s="0" t="s">
        <v>426</v>
      </c>
      <c r="F549" s="0" t="s">
        <v>141</v>
      </c>
      <c r="G549" s="0" t="s">
        <v>197</v>
      </c>
      <c r="H549" s="6" t="n">
        <f aca="false">'Export-dataset'!BD11</f>
        <v>2113</v>
      </c>
    </row>
    <row r="550" customFormat="false" ht="15" hidden="false" customHeight="false" outlineLevel="0" collapsed="false">
      <c r="A550" s="0" t="s">
        <v>61</v>
      </c>
      <c r="B550" s="0" t="n">
        <v>2024</v>
      </c>
      <c r="C550" s="0" t="s">
        <v>425</v>
      </c>
      <c r="D550" s="0" t="s">
        <v>319</v>
      </c>
      <c r="E550" s="0" t="s">
        <v>426</v>
      </c>
      <c r="F550" s="0" t="s">
        <v>141</v>
      </c>
      <c r="G550" s="0" t="s">
        <v>197</v>
      </c>
      <c r="H550" s="6" t="n">
        <f aca="false">'Export-dataset'!BD12</f>
        <v>2346</v>
      </c>
    </row>
    <row r="551" customFormat="false" ht="15" hidden="false" customHeight="false" outlineLevel="0" collapsed="false">
      <c r="A551" s="0" t="s">
        <v>61</v>
      </c>
      <c r="B551" s="0" t="n">
        <v>2025</v>
      </c>
      <c r="C551" s="0" t="s">
        <v>425</v>
      </c>
      <c r="D551" s="0" t="s">
        <v>319</v>
      </c>
      <c r="E551" s="0" t="s">
        <v>426</v>
      </c>
      <c r="F551" s="0" t="s">
        <v>141</v>
      </c>
      <c r="G551" s="0" t="s">
        <v>197</v>
      </c>
      <c r="H551" s="6" t="n">
        <f aca="false">'Export-dataset'!BD13</f>
        <v>2416</v>
      </c>
    </row>
    <row r="552" customFormat="false" ht="15" hidden="false" customHeight="false" outlineLevel="0" collapsed="false">
      <c r="A552" s="0" t="s">
        <v>61</v>
      </c>
      <c r="B552" s="0" t="n">
        <v>2016</v>
      </c>
      <c r="C552" s="0" t="s">
        <v>427</v>
      </c>
      <c r="D552" s="0" t="s">
        <v>319</v>
      </c>
      <c r="E552" s="0" t="s">
        <v>428</v>
      </c>
      <c r="F552" s="0" t="s">
        <v>141</v>
      </c>
      <c r="G552" s="0" t="s">
        <v>198</v>
      </c>
      <c r="H552" s="6" t="n">
        <f aca="false">'Export-dataset'!BE4</f>
        <v>161</v>
      </c>
    </row>
    <row r="553" customFormat="false" ht="15" hidden="false" customHeight="false" outlineLevel="0" collapsed="false">
      <c r="A553" s="0" t="s">
        <v>61</v>
      </c>
      <c r="B553" s="0" t="n">
        <v>2017</v>
      </c>
      <c r="C553" s="0" t="s">
        <v>427</v>
      </c>
      <c r="D553" s="0" t="s">
        <v>319</v>
      </c>
      <c r="E553" s="0" t="s">
        <v>428</v>
      </c>
      <c r="F553" s="0" t="s">
        <v>141</v>
      </c>
      <c r="G553" s="0" t="s">
        <v>198</v>
      </c>
      <c r="H553" s="6" t="n">
        <f aca="false">'Export-dataset'!BE5</f>
        <v>188</v>
      </c>
    </row>
    <row r="554" customFormat="false" ht="15" hidden="false" customHeight="false" outlineLevel="0" collapsed="false">
      <c r="A554" s="0" t="s">
        <v>61</v>
      </c>
      <c r="B554" s="0" t="n">
        <v>2018</v>
      </c>
      <c r="C554" s="0" t="s">
        <v>427</v>
      </c>
      <c r="D554" s="0" t="s">
        <v>319</v>
      </c>
      <c r="E554" s="0" t="s">
        <v>428</v>
      </c>
      <c r="F554" s="0" t="s">
        <v>141</v>
      </c>
      <c r="G554" s="0" t="s">
        <v>198</v>
      </c>
      <c r="H554" s="6" t="n">
        <f aca="false">'Export-dataset'!BE6</f>
        <v>275</v>
      </c>
    </row>
    <row r="555" customFormat="false" ht="15" hidden="false" customHeight="false" outlineLevel="0" collapsed="false">
      <c r="A555" s="0" t="s">
        <v>61</v>
      </c>
      <c r="B555" s="0" t="n">
        <v>2019</v>
      </c>
      <c r="C555" s="0" t="s">
        <v>427</v>
      </c>
      <c r="D555" s="0" t="s">
        <v>319</v>
      </c>
      <c r="E555" s="0" t="s">
        <v>428</v>
      </c>
      <c r="F555" s="0" t="s">
        <v>141</v>
      </c>
      <c r="G555" s="0" t="s">
        <v>198</v>
      </c>
      <c r="H555" s="6" t="n">
        <f aca="false">'Export-dataset'!BE7</f>
        <v>192</v>
      </c>
    </row>
    <row r="556" customFormat="false" ht="15" hidden="false" customHeight="false" outlineLevel="0" collapsed="false">
      <c r="A556" s="0" t="s">
        <v>61</v>
      </c>
      <c r="B556" s="0" t="n">
        <v>2020</v>
      </c>
      <c r="C556" s="0" t="s">
        <v>427</v>
      </c>
      <c r="D556" s="0" t="s">
        <v>319</v>
      </c>
      <c r="E556" s="0" t="s">
        <v>428</v>
      </c>
      <c r="F556" s="0" t="s">
        <v>141</v>
      </c>
      <c r="G556" s="0" t="s">
        <v>198</v>
      </c>
      <c r="H556" s="6" t="n">
        <f aca="false">'Export-dataset'!BE8</f>
        <v>138</v>
      </c>
    </row>
    <row r="557" customFormat="false" ht="15" hidden="false" customHeight="false" outlineLevel="0" collapsed="false">
      <c r="A557" s="0" t="s">
        <v>61</v>
      </c>
      <c r="B557" s="0" t="n">
        <v>2021</v>
      </c>
      <c r="C557" s="0" t="s">
        <v>427</v>
      </c>
      <c r="D557" s="0" t="s">
        <v>319</v>
      </c>
      <c r="E557" s="0" t="s">
        <v>428</v>
      </c>
      <c r="F557" s="0" t="s">
        <v>141</v>
      </c>
      <c r="G557" s="0" t="s">
        <v>198</v>
      </c>
      <c r="H557" s="6" t="n">
        <f aca="false">'Export-dataset'!BE9</f>
        <v>175</v>
      </c>
    </row>
    <row r="558" customFormat="false" ht="15" hidden="false" customHeight="false" outlineLevel="0" collapsed="false">
      <c r="A558" s="0" t="s">
        <v>61</v>
      </c>
      <c r="B558" s="0" t="n">
        <v>2022</v>
      </c>
      <c r="C558" s="0" t="s">
        <v>427</v>
      </c>
      <c r="D558" s="0" t="s">
        <v>319</v>
      </c>
      <c r="E558" s="0" t="s">
        <v>428</v>
      </c>
      <c r="F558" s="0" t="s">
        <v>141</v>
      </c>
      <c r="G558" s="0" t="s">
        <v>198</v>
      </c>
      <c r="H558" s="6" t="n">
        <f aca="false">'Export-dataset'!BE10</f>
        <v>260</v>
      </c>
    </row>
    <row r="559" customFormat="false" ht="15" hidden="false" customHeight="false" outlineLevel="0" collapsed="false">
      <c r="A559" s="0" t="s">
        <v>61</v>
      </c>
      <c r="B559" s="0" t="n">
        <v>2023</v>
      </c>
      <c r="C559" s="0" t="s">
        <v>427</v>
      </c>
      <c r="D559" s="0" t="s">
        <v>319</v>
      </c>
      <c r="E559" s="0" t="s">
        <v>428</v>
      </c>
      <c r="F559" s="0" t="s">
        <v>141</v>
      </c>
      <c r="G559" s="0" t="s">
        <v>198</v>
      </c>
      <c r="H559" s="6" t="n">
        <f aca="false">'Export-dataset'!BE11</f>
        <v>272</v>
      </c>
    </row>
    <row r="560" customFormat="false" ht="15" hidden="false" customHeight="false" outlineLevel="0" collapsed="false">
      <c r="A560" s="0" t="s">
        <v>61</v>
      </c>
      <c r="B560" s="0" t="n">
        <v>2024</v>
      </c>
      <c r="C560" s="0" t="s">
        <v>427</v>
      </c>
      <c r="D560" s="0" t="s">
        <v>319</v>
      </c>
      <c r="E560" s="0" t="s">
        <v>428</v>
      </c>
      <c r="F560" s="0" t="s">
        <v>141</v>
      </c>
      <c r="G560" s="0" t="s">
        <v>198</v>
      </c>
      <c r="H560" s="6" t="n">
        <f aca="false">'Export-dataset'!BE12</f>
        <v>286</v>
      </c>
    </row>
    <row r="561" customFormat="false" ht="15" hidden="false" customHeight="false" outlineLevel="0" collapsed="false">
      <c r="A561" s="0" t="s">
        <v>61</v>
      </c>
      <c r="B561" s="0" t="n">
        <v>2025</v>
      </c>
      <c r="C561" s="0" t="s">
        <v>427</v>
      </c>
      <c r="D561" s="0" t="s">
        <v>319</v>
      </c>
      <c r="E561" s="0" t="s">
        <v>428</v>
      </c>
      <c r="F561" s="0" t="s">
        <v>141</v>
      </c>
      <c r="G561" s="0" t="s">
        <v>198</v>
      </c>
      <c r="H561" s="6" t="n">
        <f aca="false">'Export-dataset'!BE13</f>
        <v>248</v>
      </c>
    </row>
    <row r="562" customFormat="false" ht="15" hidden="false" customHeight="false" outlineLevel="0" collapsed="false">
      <c r="A562" s="0" t="s">
        <v>61</v>
      </c>
      <c r="B562" s="0" t="n">
        <v>2016</v>
      </c>
      <c r="C562" s="0" t="s">
        <v>429</v>
      </c>
      <c r="D562" s="0" t="s">
        <v>319</v>
      </c>
      <c r="E562" s="0" t="s">
        <v>430</v>
      </c>
      <c r="F562" s="0" t="s">
        <v>141</v>
      </c>
      <c r="G562" s="0" t="s">
        <v>199</v>
      </c>
      <c r="H562" s="6" t="n">
        <f aca="false">'Export-dataset'!BF4</f>
        <v>2269</v>
      </c>
    </row>
    <row r="563" customFormat="false" ht="15" hidden="false" customHeight="false" outlineLevel="0" collapsed="false">
      <c r="A563" s="0" t="s">
        <v>61</v>
      </c>
      <c r="B563" s="0" t="n">
        <v>2017</v>
      </c>
      <c r="C563" s="0" t="s">
        <v>429</v>
      </c>
      <c r="D563" s="0" t="s">
        <v>319</v>
      </c>
      <c r="E563" s="0" t="s">
        <v>430</v>
      </c>
      <c r="F563" s="0" t="s">
        <v>141</v>
      </c>
      <c r="G563" s="0" t="s">
        <v>199</v>
      </c>
      <c r="H563" s="6" t="n">
        <f aca="false">'Export-dataset'!BF5</f>
        <v>2191</v>
      </c>
    </row>
    <row r="564" customFormat="false" ht="15" hidden="false" customHeight="false" outlineLevel="0" collapsed="false">
      <c r="A564" s="0" t="s">
        <v>61</v>
      </c>
      <c r="B564" s="0" t="n">
        <v>2018</v>
      </c>
      <c r="C564" s="0" t="s">
        <v>429</v>
      </c>
      <c r="D564" s="0" t="s">
        <v>319</v>
      </c>
      <c r="E564" s="0" t="s">
        <v>430</v>
      </c>
      <c r="F564" s="0" t="s">
        <v>141</v>
      </c>
      <c r="G564" s="0" t="s">
        <v>199</v>
      </c>
      <c r="H564" s="6" t="n">
        <f aca="false">'Export-dataset'!BF6</f>
        <v>2296</v>
      </c>
    </row>
    <row r="565" customFormat="false" ht="15" hidden="false" customHeight="false" outlineLevel="0" collapsed="false">
      <c r="A565" s="0" t="s">
        <v>61</v>
      </c>
      <c r="B565" s="0" t="n">
        <v>2019</v>
      </c>
      <c r="C565" s="0" t="s">
        <v>429</v>
      </c>
      <c r="D565" s="0" t="s">
        <v>319</v>
      </c>
      <c r="E565" s="0" t="s">
        <v>430</v>
      </c>
      <c r="F565" s="0" t="s">
        <v>141</v>
      </c>
      <c r="G565" s="0" t="s">
        <v>199</v>
      </c>
      <c r="H565" s="6" t="n">
        <f aca="false">'Export-dataset'!BF7</f>
        <v>2456</v>
      </c>
    </row>
    <row r="566" customFormat="false" ht="15" hidden="false" customHeight="false" outlineLevel="0" collapsed="false">
      <c r="A566" s="0" t="s">
        <v>61</v>
      </c>
      <c r="B566" s="0" t="n">
        <v>2020</v>
      </c>
      <c r="C566" s="0" t="s">
        <v>429</v>
      </c>
      <c r="D566" s="0" t="s">
        <v>319</v>
      </c>
      <c r="E566" s="0" t="s">
        <v>430</v>
      </c>
      <c r="F566" s="0" t="s">
        <v>141</v>
      </c>
      <c r="G566" s="0" t="s">
        <v>199</v>
      </c>
      <c r="H566" s="6" t="n">
        <f aca="false">'Export-dataset'!BF8</f>
        <v>2164</v>
      </c>
    </row>
    <row r="567" customFormat="false" ht="15" hidden="false" customHeight="false" outlineLevel="0" collapsed="false">
      <c r="A567" s="0" t="s">
        <v>61</v>
      </c>
      <c r="B567" s="0" t="n">
        <v>2021</v>
      </c>
      <c r="C567" s="0" t="s">
        <v>429</v>
      </c>
      <c r="D567" s="0" t="s">
        <v>319</v>
      </c>
      <c r="E567" s="0" t="s">
        <v>430</v>
      </c>
      <c r="F567" s="0" t="s">
        <v>141</v>
      </c>
      <c r="G567" s="0" t="s">
        <v>199</v>
      </c>
      <c r="H567" s="6" t="n">
        <f aca="false">'Export-dataset'!BF9</f>
        <v>2230</v>
      </c>
    </row>
    <row r="568" customFormat="false" ht="15" hidden="false" customHeight="false" outlineLevel="0" collapsed="false">
      <c r="A568" s="0" t="s">
        <v>61</v>
      </c>
      <c r="B568" s="0" t="n">
        <v>2022</v>
      </c>
      <c r="C568" s="0" t="s">
        <v>429</v>
      </c>
      <c r="D568" s="0" t="s">
        <v>319</v>
      </c>
      <c r="E568" s="0" t="s">
        <v>430</v>
      </c>
      <c r="F568" s="0" t="s">
        <v>141</v>
      </c>
      <c r="G568" s="0" t="s">
        <v>199</v>
      </c>
      <c r="H568" s="6" t="n">
        <f aca="false">'Export-dataset'!BF10</f>
        <v>2489</v>
      </c>
    </row>
    <row r="569" customFormat="false" ht="15" hidden="false" customHeight="false" outlineLevel="0" collapsed="false">
      <c r="A569" s="0" t="s">
        <v>61</v>
      </c>
      <c r="B569" s="0" t="n">
        <v>2023</v>
      </c>
      <c r="C569" s="0" t="s">
        <v>429</v>
      </c>
      <c r="D569" s="0" t="s">
        <v>319</v>
      </c>
      <c r="E569" s="0" t="s">
        <v>430</v>
      </c>
      <c r="F569" s="0" t="s">
        <v>141</v>
      </c>
      <c r="G569" s="0" t="s">
        <v>199</v>
      </c>
      <c r="H569" s="6" t="n">
        <f aca="false">'Export-dataset'!BF11</f>
        <v>3044</v>
      </c>
    </row>
    <row r="570" customFormat="false" ht="15" hidden="false" customHeight="false" outlineLevel="0" collapsed="false">
      <c r="A570" s="0" t="s">
        <v>61</v>
      </c>
      <c r="B570" s="0" t="n">
        <v>2024</v>
      </c>
      <c r="C570" s="0" t="s">
        <v>429</v>
      </c>
      <c r="D570" s="0" t="s">
        <v>319</v>
      </c>
      <c r="E570" s="0" t="s">
        <v>430</v>
      </c>
      <c r="F570" s="0" t="s">
        <v>141</v>
      </c>
      <c r="G570" s="0" t="s">
        <v>199</v>
      </c>
      <c r="H570" s="6" t="n">
        <f aca="false">'Export-dataset'!BF12</f>
        <v>3125</v>
      </c>
    </row>
    <row r="571" customFormat="false" ht="15" hidden="false" customHeight="false" outlineLevel="0" collapsed="false">
      <c r="A571" s="0" t="s">
        <v>61</v>
      </c>
      <c r="B571" s="0" t="n">
        <v>2025</v>
      </c>
      <c r="C571" s="0" t="s">
        <v>429</v>
      </c>
      <c r="D571" s="0" t="s">
        <v>319</v>
      </c>
      <c r="E571" s="0" t="s">
        <v>430</v>
      </c>
      <c r="F571" s="0" t="s">
        <v>141</v>
      </c>
      <c r="G571" s="0" t="s">
        <v>199</v>
      </c>
      <c r="H571" s="6" t="n">
        <f aca="false">'Export-dataset'!BF13</f>
        <v>3253</v>
      </c>
    </row>
    <row r="572" customFormat="false" ht="15" hidden="false" customHeight="false" outlineLevel="0" collapsed="false">
      <c r="A572" s="0" t="s">
        <v>61</v>
      </c>
      <c r="B572" s="0" t="n">
        <v>2016</v>
      </c>
      <c r="C572" s="0" t="s">
        <v>431</v>
      </c>
      <c r="D572" s="0" t="s">
        <v>319</v>
      </c>
      <c r="E572" s="0" t="s">
        <v>432</v>
      </c>
      <c r="F572" s="0" t="s">
        <v>141</v>
      </c>
      <c r="G572" s="0" t="s">
        <v>200</v>
      </c>
      <c r="H572" s="6" t="n">
        <f aca="false">'Export-dataset'!BG4</f>
        <v>1542</v>
      </c>
    </row>
    <row r="573" customFormat="false" ht="15" hidden="false" customHeight="false" outlineLevel="0" collapsed="false">
      <c r="A573" s="0" t="s">
        <v>61</v>
      </c>
      <c r="B573" s="0" t="n">
        <v>2017</v>
      </c>
      <c r="C573" s="0" t="s">
        <v>431</v>
      </c>
      <c r="D573" s="0" t="s">
        <v>319</v>
      </c>
      <c r="E573" s="0" t="s">
        <v>432</v>
      </c>
      <c r="F573" s="0" t="s">
        <v>141</v>
      </c>
      <c r="G573" s="0" t="s">
        <v>200</v>
      </c>
      <c r="H573" s="6" t="n">
        <f aca="false">'Export-dataset'!BG5</f>
        <v>1226</v>
      </c>
    </row>
    <row r="574" customFormat="false" ht="15" hidden="false" customHeight="false" outlineLevel="0" collapsed="false">
      <c r="A574" s="0" t="s">
        <v>61</v>
      </c>
      <c r="B574" s="0" t="n">
        <v>2018</v>
      </c>
      <c r="C574" s="0" t="s">
        <v>431</v>
      </c>
      <c r="D574" s="0" t="s">
        <v>319</v>
      </c>
      <c r="E574" s="0" t="s">
        <v>432</v>
      </c>
      <c r="F574" s="0" t="s">
        <v>141</v>
      </c>
      <c r="G574" s="0" t="s">
        <v>200</v>
      </c>
      <c r="H574" s="6" t="n">
        <f aca="false">'Export-dataset'!BG6</f>
        <v>1284</v>
      </c>
    </row>
    <row r="575" customFormat="false" ht="15" hidden="false" customHeight="false" outlineLevel="0" collapsed="false">
      <c r="A575" s="0" t="s">
        <v>61</v>
      </c>
      <c r="B575" s="0" t="n">
        <v>2019</v>
      </c>
      <c r="C575" s="0" t="s">
        <v>431</v>
      </c>
      <c r="D575" s="0" t="s">
        <v>319</v>
      </c>
      <c r="E575" s="0" t="s">
        <v>432</v>
      </c>
      <c r="F575" s="0" t="s">
        <v>141</v>
      </c>
      <c r="G575" s="0" t="s">
        <v>200</v>
      </c>
      <c r="H575" s="6" t="n">
        <f aca="false">'Export-dataset'!BG7</f>
        <v>1410</v>
      </c>
    </row>
    <row r="576" customFormat="false" ht="15" hidden="false" customHeight="false" outlineLevel="0" collapsed="false">
      <c r="A576" s="0" t="s">
        <v>61</v>
      </c>
      <c r="B576" s="0" t="n">
        <v>2020</v>
      </c>
      <c r="C576" s="0" t="s">
        <v>431</v>
      </c>
      <c r="D576" s="0" t="s">
        <v>319</v>
      </c>
      <c r="E576" s="0" t="s">
        <v>432</v>
      </c>
      <c r="F576" s="0" t="s">
        <v>141</v>
      </c>
      <c r="G576" s="0" t="s">
        <v>200</v>
      </c>
      <c r="H576" s="6" t="n">
        <f aca="false">'Export-dataset'!BG8</f>
        <v>1300</v>
      </c>
    </row>
    <row r="577" customFormat="false" ht="15" hidden="false" customHeight="false" outlineLevel="0" collapsed="false">
      <c r="A577" s="0" t="s">
        <v>61</v>
      </c>
      <c r="B577" s="0" t="n">
        <v>2021</v>
      </c>
      <c r="C577" s="0" t="s">
        <v>431</v>
      </c>
      <c r="D577" s="0" t="s">
        <v>319</v>
      </c>
      <c r="E577" s="0" t="s">
        <v>432</v>
      </c>
      <c r="F577" s="0" t="s">
        <v>141</v>
      </c>
      <c r="G577" s="0" t="s">
        <v>200</v>
      </c>
      <c r="H577" s="6" t="n">
        <f aca="false">'Export-dataset'!BG9</f>
        <v>1376</v>
      </c>
    </row>
    <row r="578" customFormat="false" ht="15" hidden="false" customHeight="false" outlineLevel="0" collapsed="false">
      <c r="A578" s="0" t="s">
        <v>61</v>
      </c>
      <c r="B578" s="0" t="n">
        <v>2022</v>
      </c>
      <c r="C578" s="0" t="s">
        <v>431</v>
      </c>
      <c r="D578" s="0" t="s">
        <v>319</v>
      </c>
      <c r="E578" s="0" t="s">
        <v>432</v>
      </c>
      <c r="F578" s="0" t="s">
        <v>141</v>
      </c>
      <c r="G578" s="0" t="s">
        <v>200</v>
      </c>
      <c r="H578" s="6" t="n">
        <f aca="false">'Export-dataset'!BG10</f>
        <v>1545</v>
      </c>
    </row>
    <row r="579" customFormat="false" ht="15" hidden="false" customHeight="false" outlineLevel="0" collapsed="false">
      <c r="A579" s="0" t="s">
        <v>61</v>
      </c>
      <c r="B579" s="0" t="n">
        <v>2023</v>
      </c>
      <c r="C579" s="0" t="s">
        <v>431</v>
      </c>
      <c r="D579" s="0" t="s">
        <v>319</v>
      </c>
      <c r="E579" s="0" t="s">
        <v>432</v>
      </c>
      <c r="F579" s="0" t="s">
        <v>141</v>
      </c>
      <c r="G579" s="0" t="s">
        <v>200</v>
      </c>
      <c r="H579" s="6" t="n">
        <f aca="false">'Export-dataset'!BG11</f>
        <v>1489</v>
      </c>
    </row>
    <row r="580" customFormat="false" ht="15" hidden="false" customHeight="false" outlineLevel="0" collapsed="false">
      <c r="A580" s="0" t="s">
        <v>61</v>
      </c>
      <c r="B580" s="0" t="n">
        <v>2024</v>
      </c>
      <c r="C580" s="0" t="s">
        <v>431</v>
      </c>
      <c r="D580" s="0" t="s">
        <v>319</v>
      </c>
      <c r="E580" s="0" t="s">
        <v>432</v>
      </c>
      <c r="F580" s="0" t="s">
        <v>141</v>
      </c>
      <c r="G580" s="0" t="s">
        <v>200</v>
      </c>
      <c r="H580" s="6" t="n">
        <f aca="false">'Export-dataset'!BG12</f>
        <v>1580</v>
      </c>
    </row>
    <row r="581" customFormat="false" ht="15" hidden="false" customHeight="false" outlineLevel="0" collapsed="false">
      <c r="A581" s="0" t="s">
        <v>61</v>
      </c>
      <c r="B581" s="0" t="n">
        <v>2025</v>
      </c>
      <c r="C581" s="0" t="s">
        <v>431</v>
      </c>
      <c r="D581" s="0" t="s">
        <v>319</v>
      </c>
      <c r="E581" s="0" t="s">
        <v>432</v>
      </c>
      <c r="F581" s="0" t="s">
        <v>141</v>
      </c>
      <c r="G581" s="0" t="s">
        <v>200</v>
      </c>
      <c r="H581" s="6" t="n">
        <f aca="false">'Export-dataset'!BG13</f>
        <v>1888</v>
      </c>
    </row>
    <row r="582" customFormat="false" ht="15" hidden="false" customHeight="false" outlineLevel="0" collapsed="false">
      <c r="A582" s="0" t="s">
        <v>61</v>
      </c>
      <c r="B582" s="0" t="n">
        <v>2016</v>
      </c>
      <c r="C582" s="0" t="s">
        <v>433</v>
      </c>
      <c r="D582" s="0" t="s">
        <v>319</v>
      </c>
      <c r="E582" s="0" t="s">
        <v>434</v>
      </c>
      <c r="F582" s="0" t="s">
        <v>141</v>
      </c>
      <c r="G582" s="0" t="s">
        <v>201</v>
      </c>
      <c r="H582" s="6" t="n">
        <f aca="false">'Export-dataset'!BH4</f>
        <v>1752</v>
      </c>
    </row>
    <row r="583" customFormat="false" ht="15" hidden="false" customHeight="false" outlineLevel="0" collapsed="false">
      <c r="A583" s="0" t="s">
        <v>61</v>
      </c>
      <c r="B583" s="0" t="n">
        <v>2017</v>
      </c>
      <c r="C583" s="0" t="s">
        <v>433</v>
      </c>
      <c r="D583" s="0" t="s">
        <v>319</v>
      </c>
      <c r="E583" s="0" t="s">
        <v>434</v>
      </c>
      <c r="F583" s="0" t="s">
        <v>141</v>
      </c>
      <c r="G583" s="0" t="s">
        <v>201</v>
      </c>
      <c r="H583" s="6" t="n">
        <f aca="false">'Export-dataset'!BH5</f>
        <v>2012</v>
      </c>
    </row>
    <row r="584" customFormat="false" ht="15" hidden="false" customHeight="false" outlineLevel="0" collapsed="false">
      <c r="A584" s="0" t="s">
        <v>61</v>
      </c>
      <c r="B584" s="0" t="n">
        <v>2018</v>
      </c>
      <c r="C584" s="0" t="s">
        <v>433</v>
      </c>
      <c r="D584" s="0" t="s">
        <v>319</v>
      </c>
      <c r="E584" s="0" t="s">
        <v>434</v>
      </c>
      <c r="F584" s="0" t="s">
        <v>141</v>
      </c>
      <c r="G584" s="0" t="s">
        <v>201</v>
      </c>
      <c r="H584" s="6" t="n">
        <f aca="false">'Export-dataset'!BH6</f>
        <v>2008</v>
      </c>
    </row>
    <row r="585" customFormat="false" ht="15" hidden="false" customHeight="false" outlineLevel="0" collapsed="false">
      <c r="A585" s="0" t="s">
        <v>61</v>
      </c>
      <c r="B585" s="0" t="n">
        <v>2019</v>
      </c>
      <c r="C585" s="0" t="s">
        <v>433</v>
      </c>
      <c r="D585" s="0" t="s">
        <v>319</v>
      </c>
      <c r="E585" s="0" t="s">
        <v>434</v>
      </c>
      <c r="F585" s="0" t="s">
        <v>141</v>
      </c>
      <c r="G585" s="0" t="s">
        <v>201</v>
      </c>
      <c r="H585" s="6" t="n">
        <f aca="false">'Export-dataset'!BH7</f>
        <v>2657</v>
      </c>
    </row>
    <row r="586" customFormat="false" ht="15" hidden="false" customHeight="false" outlineLevel="0" collapsed="false">
      <c r="A586" s="0" t="s">
        <v>61</v>
      </c>
      <c r="B586" s="0" t="n">
        <v>2020</v>
      </c>
      <c r="C586" s="0" t="s">
        <v>433</v>
      </c>
      <c r="D586" s="0" t="s">
        <v>319</v>
      </c>
      <c r="E586" s="0" t="s">
        <v>434</v>
      </c>
      <c r="F586" s="0" t="s">
        <v>141</v>
      </c>
      <c r="G586" s="0" t="s">
        <v>201</v>
      </c>
      <c r="H586" s="6" t="n">
        <f aca="false">'Export-dataset'!BH8</f>
        <v>2251</v>
      </c>
    </row>
    <row r="587" customFormat="false" ht="15" hidden="false" customHeight="false" outlineLevel="0" collapsed="false">
      <c r="A587" s="0" t="s">
        <v>61</v>
      </c>
      <c r="B587" s="0" t="n">
        <v>2021</v>
      </c>
      <c r="C587" s="0" t="s">
        <v>433</v>
      </c>
      <c r="D587" s="0" t="s">
        <v>319</v>
      </c>
      <c r="E587" s="0" t="s">
        <v>434</v>
      </c>
      <c r="F587" s="0" t="s">
        <v>141</v>
      </c>
      <c r="G587" s="0" t="s">
        <v>201</v>
      </c>
      <c r="H587" s="6" t="n">
        <f aca="false">'Export-dataset'!BH9</f>
        <v>2331</v>
      </c>
    </row>
    <row r="588" customFormat="false" ht="15" hidden="false" customHeight="false" outlineLevel="0" collapsed="false">
      <c r="A588" s="0" t="s">
        <v>61</v>
      </c>
      <c r="B588" s="0" t="n">
        <v>2022</v>
      </c>
      <c r="C588" s="0" t="s">
        <v>433</v>
      </c>
      <c r="D588" s="0" t="s">
        <v>319</v>
      </c>
      <c r="E588" s="0" t="s">
        <v>434</v>
      </c>
      <c r="F588" s="0" t="s">
        <v>141</v>
      </c>
      <c r="G588" s="0" t="s">
        <v>201</v>
      </c>
      <c r="H588" s="6" t="n">
        <f aca="false">'Export-dataset'!BH10</f>
        <v>2337</v>
      </c>
    </row>
    <row r="589" customFormat="false" ht="15" hidden="false" customHeight="false" outlineLevel="0" collapsed="false">
      <c r="A589" s="0" t="s">
        <v>61</v>
      </c>
      <c r="B589" s="0" t="n">
        <v>2023</v>
      </c>
      <c r="C589" s="0" t="s">
        <v>433</v>
      </c>
      <c r="D589" s="0" t="s">
        <v>319</v>
      </c>
      <c r="E589" s="0" t="s">
        <v>434</v>
      </c>
      <c r="F589" s="0" t="s">
        <v>141</v>
      </c>
      <c r="G589" s="0" t="s">
        <v>201</v>
      </c>
      <c r="H589" s="6" t="n">
        <f aca="false">'Export-dataset'!BH11</f>
        <v>2677</v>
      </c>
    </row>
    <row r="590" customFormat="false" ht="15" hidden="false" customHeight="false" outlineLevel="0" collapsed="false">
      <c r="A590" s="0" t="s">
        <v>61</v>
      </c>
      <c r="B590" s="0" t="n">
        <v>2024</v>
      </c>
      <c r="C590" s="0" t="s">
        <v>433</v>
      </c>
      <c r="D590" s="0" t="s">
        <v>319</v>
      </c>
      <c r="E590" s="0" t="s">
        <v>434</v>
      </c>
      <c r="F590" s="0" t="s">
        <v>141</v>
      </c>
      <c r="G590" s="0" t="s">
        <v>201</v>
      </c>
      <c r="H590" s="6" t="n">
        <f aca="false">'Export-dataset'!BH12</f>
        <v>2923</v>
      </c>
    </row>
    <row r="591" customFormat="false" ht="15" hidden="false" customHeight="false" outlineLevel="0" collapsed="false">
      <c r="A591" s="0" t="s">
        <v>61</v>
      </c>
      <c r="B591" s="0" t="n">
        <v>2025</v>
      </c>
      <c r="C591" s="0" t="s">
        <v>433</v>
      </c>
      <c r="D591" s="0" t="s">
        <v>319</v>
      </c>
      <c r="E591" s="0" t="s">
        <v>434</v>
      </c>
      <c r="F591" s="0" t="s">
        <v>141</v>
      </c>
      <c r="G591" s="0" t="s">
        <v>201</v>
      </c>
      <c r="H591" s="6" t="n">
        <f aca="false">'Export-dataset'!BH13</f>
        <v>3236</v>
      </c>
    </row>
    <row r="592" customFormat="false" ht="15" hidden="false" customHeight="false" outlineLevel="0" collapsed="false">
      <c r="A592" s="0" t="s">
        <v>61</v>
      </c>
      <c r="B592" s="0" t="n">
        <v>2016</v>
      </c>
      <c r="C592" s="0" t="s">
        <v>435</v>
      </c>
      <c r="D592" s="0" t="s">
        <v>319</v>
      </c>
      <c r="E592" s="0" t="s">
        <v>436</v>
      </c>
      <c r="F592" s="0" t="s">
        <v>141</v>
      </c>
      <c r="G592" s="0" t="s">
        <v>202</v>
      </c>
      <c r="H592" s="6" t="n">
        <f aca="false">'Export-dataset'!BI4</f>
        <v>1691</v>
      </c>
    </row>
    <row r="593" customFormat="false" ht="15" hidden="false" customHeight="false" outlineLevel="0" collapsed="false">
      <c r="A593" s="0" t="s">
        <v>61</v>
      </c>
      <c r="B593" s="0" t="n">
        <v>2017</v>
      </c>
      <c r="C593" s="0" t="s">
        <v>435</v>
      </c>
      <c r="D593" s="0" t="s">
        <v>319</v>
      </c>
      <c r="E593" s="0" t="s">
        <v>436</v>
      </c>
      <c r="F593" s="0" t="s">
        <v>141</v>
      </c>
      <c r="G593" s="0" t="s">
        <v>202</v>
      </c>
      <c r="H593" s="6" t="n">
        <f aca="false">'Export-dataset'!BI5</f>
        <v>1847</v>
      </c>
    </row>
    <row r="594" customFormat="false" ht="15" hidden="false" customHeight="false" outlineLevel="0" collapsed="false">
      <c r="A594" s="0" t="s">
        <v>61</v>
      </c>
      <c r="B594" s="0" t="n">
        <v>2018</v>
      </c>
      <c r="C594" s="0" t="s">
        <v>435</v>
      </c>
      <c r="D594" s="0" t="s">
        <v>319</v>
      </c>
      <c r="E594" s="0" t="s">
        <v>436</v>
      </c>
      <c r="F594" s="0" t="s">
        <v>141</v>
      </c>
      <c r="G594" s="0" t="s">
        <v>202</v>
      </c>
      <c r="H594" s="6" t="n">
        <f aca="false">'Export-dataset'!BI6</f>
        <v>2078</v>
      </c>
    </row>
    <row r="595" customFormat="false" ht="15" hidden="false" customHeight="false" outlineLevel="0" collapsed="false">
      <c r="A595" s="0" t="s">
        <v>61</v>
      </c>
      <c r="B595" s="0" t="n">
        <v>2019</v>
      </c>
      <c r="C595" s="0" t="s">
        <v>435</v>
      </c>
      <c r="D595" s="0" t="s">
        <v>319</v>
      </c>
      <c r="E595" s="0" t="s">
        <v>436</v>
      </c>
      <c r="F595" s="0" t="s">
        <v>141</v>
      </c>
      <c r="G595" s="0" t="s">
        <v>202</v>
      </c>
      <c r="H595" s="6" t="n">
        <f aca="false">'Export-dataset'!BI7</f>
        <v>2131</v>
      </c>
    </row>
    <row r="596" customFormat="false" ht="15" hidden="false" customHeight="false" outlineLevel="0" collapsed="false">
      <c r="A596" s="0" t="s">
        <v>61</v>
      </c>
      <c r="B596" s="0" t="n">
        <v>2020</v>
      </c>
      <c r="C596" s="0" t="s">
        <v>435</v>
      </c>
      <c r="D596" s="0" t="s">
        <v>319</v>
      </c>
      <c r="E596" s="0" t="s">
        <v>436</v>
      </c>
      <c r="F596" s="0" t="s">
        <v>141</v>
      </c>
      <c r="G596" s="0" t="s">
        <v>202</v>
      </c>
      <c r="H596" s="6" t="n">
        <f aca="false">'Export-dataset'!BI8</f>
        <v>2006</v>
      </c>
    </row>
    <row r="597" customFormat="false" ht="15" hidden="false" customHeight="false" outlineLevel="0" collapsed="false">
      <c r="A597" s="0" t="s">
        <v>61</v>
      </c>
      <c r="B597" s="0" t="n">
        <v>2021</v>
      </c>
      <c r="C597" s="0" t="s">
        <v>435</v>
      </c>
      <c r="D597" s="0" t="s">
        <v>319</v>
      </c>
      <c r="E597" s="0" t="s">
        <v>436</v>
      </c>
      <c r="F597" s="0" t="s">
        <v>141</v>
      </c>
      <c r="G597" s="0" t="s">
        <v>202</v>
      </c>
      <c r="H597" s="6" t="n">
        <f aca="false">'Export-dataset'!BI9</f>
        <v>2227</v>
      </c>
    </row>
    <row r="598" customFormat="false" ht="15" hidden="false" customHeight="false" outlineLevel="0" collapsed="false">
      <c r="A598" s="0" t="s">
        <v>61</v>
      </c>
      <c r="B598" s="0" t="n">
        <v>2022</v>
      </c>
      <c r="C598" s="0" t="s">
        <v>435</v>
      </c>
      <c r="D598" s="0" t="s">
        <v>319</v>
      </c>
      <c r="E598" s="0" t="s">
        <v>436</v>
      </c>
      <c r="F598" s="0" t="s">
        <v>141</v>
      </c>
      <c r="G598" s="0" t="s">
        <v>202</v>
      </c>
      <c r="H598" s="6" t="n">
        <f aca="false">'Export-dataset'!BI10</f>
        <v>2692</v>
      </c>
    </row>
    <row r="599" customFormat="false" ht="15" hidden="false" customHeight="false" outlineLevel="0" collapsed="false">
      <c r="A599" s="0" t="s">
        <v>61</v>
      </c>
      <c r="B599" s="0" t="n">
        <v>2023</v>
      </c>
      <c r="C599" s="0" t="s">
        <v>435</v>
      </c>
      <c r="D599" s="0" t="s">
        <v>319</v>
      </c>
      <c r="E599" s="0" t="s">
        <v>436</v>
      </c>
      <c r="F599" s="0" t="s">
        <v>141</v>
      </c>
      <c r="G599" s="0" t="s">
        <v>202</v>
      </c>
      <c r="H599" s="6" t="n">
        <f aca="false">'Export-dataset'!BI11</f>
        <v>2954</v>
      </c>
    </row>
    <row r="600" customFormat="false" ht="15" hidden="false" customHeight="false" outlineLevel="0" collapsed="false">
      <c r="A600" s="0" t="s">
        <v>61</v>
      </c>
      <c r="B600" s="0" t="n">
        <v>2024</v>
      </c>
      <c r="C600" s="0" t="s">
        <v>435</v>
      </c>
      <c r="D600" s="0" t="s">
        <v>319</v>
      </c>
      <c r="E600" s="0" t="s">
        <v>436</v>
      </c>
      <c r="F600" s="0" t="s">
        <v>141</v>
      </c>
      <c r="G600" s="0" t="s">
        <v>202</v>
      </c>
      <c r="H600" s="6" t="n">
        <f aca="false">'Export-dataset'!BI12</f>
        <v>3219</v>
      </c>
    </row>
    <row r="601" customFormat="false" ht="15" hidden="false" customHeight="false" outlineLevel="0" collapsed="false">
      <c r="A601" s="0" t="s">
        <v>61</v>
      </c>
      <c r="B601" s="0" t="n">
        <v>2025</v>
      </c>
      <c r="C601" s="0" t="s">
        <v>435</v>
      </c>
      <c r="D601" s="0" t="s">
        <v>319</v>
      </c>
      <c r="E601" s="0" t="s">
        <v>436</v>
      </c>
      <c r="F601" s="0" t="s">
        <v>141</v>
      </c>
      <c r="G601" s="0" t="s">
        <v>202</v>
      </c>
      <c r="H601" s="6" t="n">
        <f aca="false">'Export-dataset'!BI13</f>
        <v>3266</v>
      </c>
    </row>
    <row r="602" customFormat="false" ht="15" hidden="false" customHeight="false" outlineLevel="0" collapsed="false">
      <c r="A602" s="0" t="s">
        <v>61</v>
      </c>
      <c r="B602" s="0" t="n">
        <v>2016</v>
      </c>
      <c r="C602" s="0" t="s">
        <v>437</v>
      </c>
      <c r="D602" s="0" t="s">
        <v>319</v>
      </c>
      <c r="E602" s="0" t="s">
        <v>438</v>
      </c>
      <c r="F602" s="0" t="s">
        <v>141</v>
      </c>
      <c r="G602" s="0" t="s">
        <v>203</v>
      </c>
      <c r="H602" s="6" t="n">
        <f aca="false">'Export-dataset'!BJ4</f>
        <v>2940</v>
      </c>
    </row>
    <row r="603" customFormat="false" ht="15" hidden="false" customHeight="false" outlineLevel="0" collapsed="false">
      <c r="A603" s="0" t="s">
        <v>61</v>
      </c>
      <c r="B603" s="0" t="n">
        <v>2017</v>
      </c>
      <c r="C603" s="0" t="s">
        <v>437</v>
      </c>
      <c r="D603" s="0" t="s">
        <v>319</v>
      </c>
      <c r="E603" s="0" t="s">
        <v>438</v>
      </c>
      <c r="F603" s="0" t="s">
        <v>141</v>
      </c>
      <c r="G603" s="0" t="s">
        <v>203</v>
      </c>
      <c r="H603" s="6" t="n">
        <f aca="false">'Export-dataset'!BJ5</f>
        <v>2264</v>
      </c>
    </row>
    <row r="604" customFormat="false" ht="15" hidden="false" customHeight="false" outlineLevel="0" collapsed="false">
      <c r="A604" s="0" t="s">
        <v>61</v>
      </c>
      <c r="B604" s="0" t="n">
        <v>2018</v>
      </c>
      <c r="C604" s="0" t="s">
        <v>437</v>
      </c>
      <c r="D604" s="0" t="s">
        <v>319</v>
      </c>
      <c r="E604" s="0" t="s">
        <v>438</v>
      </c>
      <c r="F604" s="0" t="s">
        <v>141</v>
      </c>
      <c r="G604" s="0" t="s">
        <v>203</v>
      </c>
      <c r="H604" s="6" t="n">
        <f aca="false">'Export-dataset'!BJ6</f>
        <v>1693</v>
      </c>
    </row>
    <row r="605" customFormat="false" ht="15" hidden="false" customHeight="false" outlineLevel="0" collapsed="false">
      <c r="A605" s="0" t="s">
        <v>61</v>
      </c>
      <c r="B605" s="0" t="n">
        <v>2019</v>
      </c>
      <c r="C605" s="0" t="s">
        <v>437</v>
      </c>
      <c r="D605" s="0" t="s">
        <v>319</v>
      </c>
      <c r="E605" s="0" t="s">
        <v>438</v>
      </c>
      <c r="F605" s="0" t="s">
        <v>141</v>
      </c>
      <c r="G605" s="0" t="s">
        <v>203</v>
      </c>
      <c r="H605" s="6" t="n">
        <f aca="false">'Export-dataset'!BJ7</f>
        <v>1919</v>
      </c>
    </row>
    <row r="606" customFormat="false" ht="15" hidden="false" customHeight="false" outlineLevel="0" collapsed="false">
      <c r="A606" s="0" t="s">
        <v>61</v>
      </c>
      <c r="B606" s="0" t="n">
        <v>2020</v>
      </c>
      <c r="C606" s="0" t="s">
        <v>437</v>
      </c>
      <c r="D606" s="0" t="s">
        <v>319</v>
      </c>
      <c r="E606" s="0" t="s">
        <v>438</v>
      </c>
      <c r="F606" s="0" t="s">
        <v>141</v>
      </c>
      <c r="G606" s="0" t="s">
        <v>203</v>
      </c>
      <c r="H606" s="6" t="n">
        <f aca="false">'Export-dataset'!BJ8</f>
        <v>1598</v>
      </c>
    </row>
    <row r="607" customFormat="false" ht="15" hidden="false" customHeight="false" outlineLevel="0" collapsed="false">
      <c r="A607" s="0" t="s">
        <v>61</v>
      </c>
      <c r="B607" s="0" t="n">
        <v>2021</v>
      </c>
      <c r="C607" s="0" t="s">
        <v>437</v>
      </c>
      <c r="D607" s="0" t="s">
        <v>319</v>
      </c>
      <c r="E607" s="0" t="s">
        <v>438</v>
      </c>
      <c r="F607" s="0" t="s">
        <v>141</v>
      </c>
      <c r="G607" s="0" t="s">
        <v>203</v>
      </c>
      <c r="H607" s="6" t="n">
        <f aca="false">'Export-dataset'!BJ9</f>
        <v>1853</v>
      </c>
    </row>
    <row r="608" customFormat="false" ht="15" hidden="false" customHeight="false" outlineLevel="0" collapsed="false">
      <c r="A608" s="0" t="s">
        <v>61</v>
      </c>
      <c r="B608" s="0" t="n">
        <v>2022</v>
      </c>
      <c r="C608" s="0" t="s">
        <v>437</v>
      </c>
      <c r="D608" s="0" t="s">
        <v>319</v>
      </c>
      <c r="E608" s="0" t="s">
        <v>438</v>
      </c>
      <c r="F608" s="0" t="s">
        <v>141</v>
      </c>
      <c r="G608" s="0" t="s">
        <v>203</v>
      </c>
      <c r="H608" s="6" t="n">
        <f aca="false">'Export-dataset'!BJ10</f>
        <v>2013</v>
      </c>
    </row>
    <row r="609" customFormat="false" ht="15" hidden="false" customHeight="false" outlineLevel="0" collapsed="false">
      <c r="A609" s="0" t="s">
        <v>61</v>
      </c>
      <c r="B609" s="0" t="n">
        <v>2023</v>
      </c>
      <c r="C609" s="0" t="s">
        <v>437</v>
      </c>
      <c r="D609" s="0" t="s">
        <v>319</v>
      </c>
      <c r="E609" s="0" t="s">
        <v>438</v>
      </c>
      <c r="F609" s="0" t="s">
        <v>141</v>
      </c>
      <c r="G609" s="0" t="s">
        <v>203</v>
      </c>
      <c r="H609" s="6" t="n">
        <f aca="false">'Export-dataset'!BJ11</f>
        <v>2180</v>
      </c>
    </row>
    <row r="610" customFormat="false" ht="15" hidden="false" customHeight="false" outlineLevel="0" collapsed="false">
      <c r="A610" s="0" t="s">
        <v>61</v>
      </c>
      <c r="B610" s="0" t="n">
        <v>2024</v>
      </c>
      <c r="C610" s="0" t="s">
        <v>437</v>
      </c>
      <c r="D610" s="0" t="s">
        <v>319</v>
      </c>
      <c r="E610" s="0" t="s">
        <v>438</v>
      </c>
      <c r="F610" s="0" t="s">
        <v>141</v>
      </c>
      <c r="G610" s="0" t="s">
        <v>203</v>
      </c>
      <c r="H610" s="6" t="n">
        <f aca="false">'Export-dataset'!BJ12</f>
        <v>2259</v>
      </c>
    </row>
    <row r="611" customFormat="false" ht="15" hidden="false" customHeight="false" outlineLevel="0" collapsed="false">
      <c r="A611" s="0" t="s">
        <v>61</v>
      </c>
      <c r="B611" s="0" t="n">
        <v>2025</v>
      </c>
      <c r="C611" s="0" t="s">
        <v>437</v>
      </c>
      <c r="D611" s="0" t="s">
        <v>319</v>
      </c>
      <c r="E611" s="0" t="s">
        <v>438</v>
      </c>
      <c r="F611" s="0" t="s">
        <v>141</v>
      </c>
      <c r="G611" s="0" t="s">
        <v>203</v>
      </c>
      <c r="H611" s="6" t="n">
        <f aca="false">'Export-dataset'!BJ13</f>
        <v>2624</v>
      </c>
    </row>
    <row r="612" customFormat="false" ht="15" hidden="false" customHeight="false" outlineLevel="0" collapsed="false">
      <c r="A612" s="0" t="s">
        <v>61</v>
      </c>
      <c r="B612" s="0" t="n">
        <v>2016</v>
      </c>
      <c r="C612" s="0" t="s">
        <v>439</v>
      </c>
      <c r="D612" s="0" t="s">
        <v>319</v>
      </c>
      <c r="E612" s="0" t="s">
        <v>440</v>
      </c>
      <c r="F612" s="0" t="s">
        <v>141</v>
      </c>
      <c r="G612" s="0" t="s">
        <v>204</v>
      </c>
      <c r="H612" s="6" t="n">
        <f aca="false">'Export-dataset'!BK4</f>
        <v>2290</v>
      </c>
    </row>
    <row r="613" customFormat="false" ht="15" hidden="false" customHeight="false" outlineLevel="0" collapsed="false">
      <c r="A613" s="0" t="s">
        <v>61</v>
      </c>
      <c r="B613" s="0" t="n">
        <v>2017</v>
      </c>
      <c r="C613" s="0" t="s">
        <v>439</v>
      </c>
      <c r="D613" s="0" t="s">
        <v>319</v>
      </c>
      <c r="E613" s="0" t="s">
        <v>440</v>
      </c>
      <c r="F613" s="0" t="s">
        <v>141</v>
      </c>
      <c r="G613" s="0" t="s">
        <v>204</v>
      </c>
      <c r="H613" s="6" t="n">
        <f aca="false">'Export-dataset'!BK5</f>
        <v>2283</v>
      </c>
    </row>
    <row r="614" customFormat="false" ht="15" hidden="false" customHeight="false" outlineLevel="0" collapsed="false">
      <c r="A614" s="0" t="s">
        <v>61</v>
      </c>
      <c r="B614" s="0" t="n">
        <v>2018</v>
      </c>
      <c r="C614" s="0" t="s">
        <v>439</v>
      </c>
      <c r="D614" s="0" t="s">
        <v>319</v>
      </c>
      <c r="E614" s="0" t="s">
        <v>440</v>
      </c>
      <c r="F614" s="0" t="s">
        <v>141</v>
      </c>
      <c r="G614" s="0" t="s">
        <v>204</v>
      </c>
      <c r="H614" s="6" t="n">
        <f aca="false">'Export-dataset'!BK6</f>
        <v>2945</v>
      </c>
    </row>
    <row r="615" customFormat="false" ht="15" hidden="false" customHeight="false" outlineLevel="0" collapsed="false">
      <c r="A615" s="0" t="s">
        <v>61</v>
      </c>
      <c r="B615" s="0" t="n">
        <v>2019</v>
      </c>
      <c r="C615" s="0" t="s">
        <v>439</v>
      </c>
      <c r="D615" s="0" t="s">
        <v>319</v>
      </c>
      <c r="E615" s="0" t="s">
        <v>440</v>
      </c>
      <c r="F615" s="0" t="s">
        <v>141</v>
      </c>
      <c r="G615" s="0" t="s">
        <v>204</v>
      </c>
      <c r="H615" s="6" t="n">
        <f aca="false">'Export-dataset'!BK7</f>
        <v>3208</v>
      </c>
    </row>
    <row r="616" customFormat="false" ht="15" hidden="false" customHeight="false" outlineLevel="0" collapsed="false">
      <c r="A616" s="0" t="s">
        <v>61</v>
      </c>
      <c r="B616" s="0" t="n">
        <v>2020</v>
      </c>
      <c r="C616" s="0" t="s">
        <v>439</v>
      </c>
      <c r="D616" s="0" t="s">
        <v>319</v>
      </c>
      <c r="E616" s="0" t="s">
        <v>440</v>
      </c>
      <c r="F616" s="0" t="s">
        <v>141</v>
      </c>
      <c r="G616" s="0" t="s">
        <v>204</v>
      </c>
      <c r="H616" s="6" t="n">
        <f aca="false">'Export-dataset'!BK8</f>
        <v>2387</v>
      </c>
    </row>
    <row r="617" customFormat="false" ht="15" hidden="false" customHeight="false" outlineLevel="0" collapsed="false">
      <c r="A617" s="0" t="s">
        <v>61</v>
      </c>
      <c r="B617" s="0" t="n">
        <v>2021</v>
      </c>
      <c r="C617" s="0" t="s">
        <v>439</v>
      </c>
      <c r="D617" s="0" t="s">
        <v>319</v>
      </c>
      <c r="E617" s="0" t="s">
        <v>440</v>
      </c>
      <c r="F617" s="0" t="s">
        <v>141</v>
      </c>
      <c r="G617" s="0" t="s">
        <v>204</v>
      </c>
      <c r="H617" s="6" t="n">
        <f aca="false">'Export-dataset'!BK9</f>
        <v>1988</v>
      </c>
    </row>
    <row r="618" customFormat="false" ht="15" hidden="false" customHeight="false" outlineLevel="0" collapsed="false">
      <c r="A618" s="0" t="s">
        <v>61</v>
      </c>
      <c r="B618" s="0" t="n">
        <v>2022</v>
      </c>
      <c r="C618" s="0" t="s">
        <v>439</v>
      </c>
      <c r="D618" s="0" t="s">
        <v>319</v>
      </c>
      <c r="E618" s="0" t="s">
        <v>440</v>
      </c>
      <c r="F618" s="0" t="s">
        <v>141</v>
      </c>
      <c r="G618" s="0" t="s">
        <v>204</v>
      </c>
      <c r="H618" s="6" t="n">
        <f aca="false">'Export-dataset'!BK10</f>
        <v>2245</v>
      </c>
    </row>
    <row r="619" customFormat="false" ht="15" hidden="false" customHeight="false" outlineLevel="0" collapsed="false">
      <c r="A619" s="0" t="s">
        <v>61</v>
      </c>
      <c r="B619" s="0" t="n">
        <v>2023</v>
      </c>
      <c r="C619" s="0" t="s">
        <v>439</v>
      </c>
      <c r="D619" s="0" t="s">
        <v>319</v>
      </c>
      <c r="E619" s="0" t="s">
        <v>440</v>
      </c>
      <c r="F619" s="0" t="s">
        <v>141</v>
      </c>
      <c r="G619" s="0" t="s">
        <v>204</v>
      </c>
      <c r="H619" s="6" t="n">
        <f aca="false">'Export-dataset'!BK11</f>
        <v>2574</v>
      </c>
    </row>
    <row r="620" customFormat="false" ht="15" hidden="false" customHeight="false" outlineLevel="0" collapsed="false">
      <c r="A620" s="0" t="s">
        <v>61</v>
      </c>
      <c r="B620" s="0" t="n">
        <v>2024</v>
      </c>
      <c r="C620" s="0" t="s">
        <v>439</v>
      </c>
      <c r="D620" s="0" t="s">
        <v>319</v>
      </c>
      <c r="E620" s="0" t="s">
        <v>440</v>
      </c>
      <c r="F620" s="0" t="s">
        <v>141</v>
      </c>
      <c r="G620" s="0" t="s">
        <v>204</v>
      </c>
      <c r="H620" s="6" t="n">
        <f aca="false">'Export-dataset'!BK12</f>
        <v>3377</v>
      </c>
    </row>
    <row r="621" customFormat="false" ht="15" hidden="false" customHeight="false" outlineLevel="0" collapsed="false">
      <c r="A621" s="0" t="s">
        <v>61</v>
      </c>
      <c r="B621" s="0" t="n">
        <v>2025</v>
      </c>
      <c r="C621" s="0" t="s">
        <v>439</v>
      </c>
      <c r="D621" s="0" t="s">
        <v>319</v>
      </c>
      <c r="E621" s="0" t="s">
        <v>440</v>
      </c>
      <c r="F621" s="0" t="s">
        <v>141</v>
      </c>
      <c r="G621" s="0" t="s">
        <v>204</v>
      </c>
      <c r="H621" s="6" t="n">
        <f aca="false">'Export-dataset'!BK13</f>
        <v>3685</v>
      </c>
    </row>
    <row r="622" customFormat="false" ht="15" hidden="false" customHeight="false" outlineLevel="0" collapsed="false">
      <c r="A622" s="0" t="s">
        <v>61</v>
      </c>
      <c r="B622" s="0" t="n">
        <v>2016</v>
      </c>
      <c r="C622" s="0" t="s">
        <v>441</v>
      </c>
      <c r="D622" s="0" t="s">
        <v>316</v>
      </c>
      <c r="E622" s="0" t="s">
        <v>442</v>
      </c>
      <c r="F622" s="0" t="s">
        <v>141</v>
      </c>
      <c r="G622" s="0" t="s">
        <v>205</v>
      </c>
      <c r="H622" s="6" t="n">
        <f aca="false">'Export-dataset'!BL4</f>
        <v>6558</v>
      </c>
    </row>
    <row r="623" customFormat="false" ht="15" hidden="false" customHeight="false" outlineLevel="0" collapsed="false">
      <c r="A623" s="0" t="s">
        <v>61</v>
      </c>
      <c r="B623" s="0" t="n">
        <v>2017</v>
      </c>
      <c r="C623" s="0" t="s">
        <v>441</v>
      </c>
      <c r="D623" s="0" t="s">
        <v>316</v>
      </c>
      <c r="E623" s="0" t="s">
        <v>442</v>
      </c>
      <c r="F623" s="0" t="s">
        <v>141</v>
      </c>
      <c r="G623" s="0" t="s">
        <v>205</v>
      </c>
      <c r="H623" s="6" t="n">
        <f aca="false">'Export-dataset'!BL5</f>
        <v>6857</v>
      </c>
    </row>
    <row r="624" customFormat="false" ht="15" hidden="false" customHeight="false" outlineLevel="0" collapsed="false">
      <c r="A624" s="0" t="s">
        <v>61</v>
      </c>
      <c r="B624" s="0" t="n">
        <v>2018</v>
      </c>
      <c r="C624" s="0" t="s">
        <v>441</v>
      </c>
      <c r="D624" s="0" t="s">
        <v>316</v>
      </c>
      <c r="E624" s="0" t="s">
        <v>442</v>
      </c>
      <c r="F624" s="0" t="s">
        <v>141</v>
      </c>
      <c r="G624" s="0" t="s">
        <v>205</v>
      </c>
      <c r="H624" s="6" t="n">
        <f aca="false">'Export-dataset'!BL6</f>
        <v>7288</v>
      </c>
    </row>
    <row r="625" customFormat="false" ht="15" hidden="false" customHeight="false" outlineLevel="0" collapsed="false">
      <c r="A625" s="0" t="s">
        <v>61</v>
      </c>
      <c r="B625" s="0" t="n">
        <v>2019</v>
      </c>
      <c r="C625" s="0" t="s">
        <v>441</v>
      </c>
      <c r="D625" s="0" t="s">
        <v>316</v>
      </c>
      <c r="E625" s="0" t="s">
        <v>442</v>
      </c>
      <c r="F625" s="0" t="s">
        <v>141</v>
      </c>
      <c r="G625" s="0" t="s">
        <v>205</v>
      </c>
      <c r="H625" s="6" t="n">
        <f aca="false">'Export-dataset'!BL7</f>
        <v>8208</v>
      </c>
    </row>
    <row r="626" customFormat="false" ht="15" hidden="false" customHeight="false" outlineLevel="0" collapsed="false">
      <c r="A626" s="0" t="s">
        <v>61</v>
      </c>
      <c r="B626" s="0" t="n">
        <v>2020</v>
      </c>
      <c r="C626" s="0" t="s">
        <v>441</v>
      </c>
      <c r="D626" s="0" t="s">
        <v>316</v>
      </c>
      <c r="E626" s="0" t="s">
        <v>442</v>
      </c>
      <c r="F626" s="0" t="s">
        <v>141</v>
      </c>
      <c r="G626" s="0" t="s">
        <v>205</v>
      </c>
      <c r="H626" s="6" t="n">
        <f aca="false">'Export-dataset'!BL8</f>
        <v>7376</v>
      </c>
    </row>
    <row r="627" customFormat="false" ht="15" hidden="false" customHeight="false" outlineLevel="0" collapsed="false">
      <c r="A627" s="0" t="s">
        <v>61</v>
      </c>
      <c r="B627" s="0" t="n">
        <v>2021</v>
      </c>
      <c r="C627" s="0" t="s">
        <v>441</v>
      </c>
      <c r="D627" s="0" t="s">
        <v>316</v>
      </c>
      <c r="E627" s="0" t="s">
        <v>442</v>
      </c>
      <c r="F627" s="0" t="s">
        <v>141</v>
      </c>
      <c r="G627" s="0" t="s">
        <v>205</v>
      </c>
      <c r="H627" s="6" t="n">
        <f aca="false">'Export-dataset'!BL9</f>
        <v>8036</v>
      </c>
    </row>
    <row r="628" customFormat="false" ht="15" hidden="false" customHeight="false" outlineLevel="0" collapsed="false">
      <c r="A628" s="0" t="s">
        <v>61</v>
      </c>
      <c r="B628" s="0" t="n">
        <v>2022</v>
      </c>
      <c r="C628" s="0" t="s">
        <v>441</v>
      </c>
      <c r="D628" s="0" t="s">
        <v>316</v>
      </c>
      <c r="E628" s="0" t="s">
        <v>442</v>
      </c>
      <c r="F628" s="0" t="s">
        <v>141</v>
      </c>
      <c r="G628" s="0" t="s">
        <v>205</v>
      </c>
      <c r="H628" s="6" t="n">
        <f aca="false">'Export-dataset'!BL10</f>
        <v>9077</v>
      </c>
    </row>
    <row r="629" customFormat="false" ht="15" hidden="false" customHeight="false" outlineLevel="0" collapsed="false">
      <c r="A629" s="0" t="s">
        <v>61</v>
      </c>
      <c r="B629" s="0" t="n">
        <v>2023</v>
      </c>
      <c r="C629" s="0" t="s">
        <v>441</v>
      </c>
      <c r="D629" s="0" t="s">
        <v>316</v>
      </c>
      <c r="E629" s="0" t="s">
        <v>442</v>
      </c>
      <c r="F629" s="0" t="s">
        <v>141</v>
      </c>
      <c r="G629" s="0" t="s">
        <v>205</v>
      </c>
      <c r="H629" s="6" t="n">
        <f aca="false">'Export-dataset'!BL11</f>
        <v>10517</v>
      </c>
    </row>
    <row r="630" customFormat="false" ht="15" hidden="false" customHeight="false" outlineLevel="0" collapsed="false">
      <c r="A630" s="0" t="s">
        <v>61</v>
      </c>
      <c r="B630" s="0" t="n">
        <v>2024</v>
      </c>
      <c r="C630" s="0" t="s">
        <v>441</v>
      </c>
      <c r="D630" s="0" t="s">
        <v>316</v>
      </c>
      <c r="E630" s="0" t="s">
        <v>442</v>
      </c>
      <c r="F630" s="0" t="s">
        <v>141</v>
      </c>
      <c r="G630" s="0" t="s">
        <v>205</v>
      </c>
      <c r="H630" s="6" t="n">
        <f aca="false">'Export-dataset'!BL12</f>
        <v>10974</v>
      </c>
    </row>
    <row r="631" customFormat="false" ht="15" hidden="false" customHeight="false" outlineLevel="0" collapsed="false">
      <c r="A631" s="0" t="s">
        <v>61</v>
      </c>
      <c r="B631" s="0" t="n">
        <v>2025</v>
      </c>
      <c r="C631" s="0" t="s">
        <v>441</v>
      </c>
      <c r="D631" s="0" t="s">
        <v>316</v>
      </c>
      <c r="E631" s="0" t="s">
        <v>442</v>
      </c>
      <c r="F631" s="0" t="s">
        <v>141</v>
      </c>
      <c r="G631" s="0" t="s">
        <v>205</v>
      </c>
      <c r="H631" s="6" t="n">
        <f aca="false">'Export-dataset'!BL13</f>
        <v>11863</v>
      </c>
    </row>
    <row r="632" customFormat="false" ht="15" hidden="false" customHeight="false" outlineLevel="0" collapsed="false">
      <c r="A632" s="0" t="s">
        <v>61</v>
      </c>
      <c r="B632" s="0" t="n">
        <v>2016</v>
      </c>
      <c r="C632" s="0" t="s">
        <v>443</v>
      </c>
      <c r="D632" s="0" t="s">
        <v>319</v>
      </c>
      <c r="E632" s="0" t="s">
        <v>444</v>
      </c>
      <c r="F632" s="0" t="s">
        <v>141</v>
      </c>
      <c r="G632" s="0" t="s">
        <v>206</v>
      </c>
      <c r="H632" s="6" t="n">
        <f aca="false">'Export-dataset'!BM4</f>
        <v>136</v>
      </c>
    </row>
    <row r="633" customFormat="false" ht="15" hidden="false" customHeight="false" outlineLevel="0" collapsed="false">
      <c r="A633" s="0" t="s">
        <v>61</v>
      </c>
      <c r="B633" s="0" t="n">
        <v>2017</v>
      </c>
      <c r="C633" s="0" t="s">
        <v>443</v>
      </c>
      <c r="D633" s="0" t="s">
        <v>319</v>
      </c>
      <c r="E633" s="0" t="s">
        <v>444</v>
      </c>
      <c r="F633" s="0" t="s">
        <v>141</v>
      </c>
      <c r="G633" s="0" t="s">
        <v>206</v>
      </c>
      <c r="H633" s="6" t="n">
        <f aca="false">'Export-dataset'!BM5</f>
        <v>144</v>
      </c>
    </row>
    <row r="634" customFormat="false" ht="15" hidden="false" customHeight="false" outlineLevel="0" collapsed="false">
      <c r="A634" s="0" t="s">
        <v>61</v>
      </c>
      <c r="B634" s="0" t="n">
        <v>2018</v>
      </c>
      <c r="C634" s="0" t="s">
        <v>443</v>
      </c>
      <c r="D634" s="0" t="s">
        <v>319</v>
      </c>
      <c r="E634" s="0" t="s">
        <v>444</v>
      </c>
      <c r="F634" s="0" t="s">
        <v>141</v>
      </c>
      <c r="G634" s="0" t="s">
        <v>206</v>
      </c>
      <c r="H634" s="6" t="n">
        <f aca="false">'Export-dataset'!BM6</f>
        <v>162</v>
      </c>
    </row>
    <row r="635" customFormat="false" ht="15" hidden="false" customHeight="false" outlineLevel="0" collapsed="false">
      <c r="A635" s="0" t="s">
        <v>61</v>
      </c>
      <c r="B635" s="0" t="n">
        <v>2019</v>
      </c>
      <c r="C635" s="0" t="s">
        <v>443</v>
      </c>
      <c r="D635" s="0" t="s">
        <v>319</v>
      </c>
      <c r="E635" s="0" t="s">
        <v>444</v>
      </c>
      <c r="F635" s="0" t="s">
        <v>141</v>
      </c>
      <c r="G635" s="0" t="s">
        <v>206</v>
      </c>
      <c r="H635" s="6" t="n">
        <f aca="false">'Export-dataset'!BM7</f>
        <v>157</v>
      </c>
    </row>
    <row r="636" customFormat="false" ht="15" hidden="false" customHeight="false" outlineLevel="0" collapsed="false">
      <c r="A636" s="0" t="s">
        <v>61</v>
      </c>
      <c r="B636" s="0" t="n">
        <v>2020</v>
      </c>
      <c r="C636" s="0" t="s">
        <v>443</v>
      </c>
      <c r="D636" s="0" t="s">
        <v>319</v>
      </c>
      <c r="E636" s="0" t="s">
        <v>444</v>
      </c>
      <c r="F636" s="0" t="s">
        <v>141</v>
      </c>
      <c r="G636" s="0" t="s">
        <v>206</v>
      </c>
      <c r="H636" s="6" t="n">
        <f aca="false">'Export-dataset'!BM8</f>
        <v>161</v>
      </c>
    </row>
    <row r="637" customFormat="false" ht="15" hidden="false" customHeight="false" outlineLevel="0" collapsed="false">
      <c r="A637" s="0" t="s">
        <v>61</v>
      </c>
      <c r="B637" s="0" t="n">
        <v>2021</v>
      </c>
      <c r="C637" s="0" t="s">
        <v>443</v>
      </c>
      <c r="D637" s="0" t="s">
        <v>319</v>
      </c>
      <c r="E637" s="0" t="s">
        <v>444</v>
      </c>
      <c r="F637" s="0" t="s">
        <v>141</v>
      </c>
      <c r="G637" s="0" t="s">
        <v>206</v>
      </c>
      <c r="H637" s="6" t="n">
        <f aca="false">'Export-dataset'!BM9</f>
        <v>203</v>
      </c>
    </row>
    <row r="638" customFormat="false" ht="15" hidden="false" customHeight="false" outlineLevel="0" collapsed="false">
      <c r="A638" s="0" t="s">
        <v>61</v>
      </c>
      <c r="B638" s="0" t="n">
        <v>2022</v>
      </c>
      <c r="C638" s="0" t="s">
        <v>443</v>
      </c>
      <c r="D638" s="0" t="s">
        <v>319</v>
      </c>
      <c r="E638" s="0" t="s">
        <v>444</v>
      </c>
      <c r="F638" s="0" t="s">
        <v>141</v>
      </c>
      <c r="G638" s="0" t="s">
        <v>206</v>
      </c>
      <c r="H638" s="6" t="n">
        <f aca="false">'Export-dataset'!BM10</f>
        <v>175</v>
      </c>
    </row>
    <row r="639" customFormat="false" ht="15" hidden="false" customHeight="false" outlineLevel="0" collapsed="false">
      <c r="A639" s="0" t="s">
        <v>61</v>
      </c>
      <c r="B639" s="0" t="n">
        <v>2023</v>
      </c>
      <c r="C639" s="0" t="s">
        <v>443</v>
      </c>
      <c r="D639" s="0" t="s">
        <v>319</v>
      </c>
      <c r="E639" s="0" t="s">
        <v>444</v>
      </c>
      <c r="F639" s="0" t="s">
        <v>141</v>
      </c>
      <c r="G639" s="0" t="s">
        <v>206</v>
      </c>
      <c r="H639" s="6" t="n">
        <f aca="false">'Export-dataset'!BM11</f>
        <v>170</v>
      </c>
    </row>
    <row r="640" customFormat="false" ht="15" hidden="false" customHeight="false" outlineLevel="0" collapsed="false">
      <c r="A640" s="0" t="s">
        <v>61</v>
      </c>
      <c r="B640" s="0" t="n">
        <v>2024</v>
      </c>
      <c r="C640" s="0" t="s">
        <v>443</v>
      </c>
      <c r="D640" s="0" t="s">
        <v>319</v>
      </c>
      <c r="E640" s="0" t="s">
        <v>444</v>
      </c>
      <c r="F640" s="0" t="s">
        <v>141</v>
      </c>
      <c r="G640" s="0" t="s">
        <v>206</v>
      </c>
      <c r="H640" s="6" t="n">
        <f aca="false">'Export-dataset'!BM12</f>
        <v>191</v>
      </c>
    </row>
    <row r="641" customFormat="false" ht="15" hidden="false" customHeight="false" outlineLevel="0" collapsed="false">
      <c r="A641" s="0" t="s">
        <v>61</v>
      </c>
      <c r="B641" s="0" t="n">
        <v>2025</v>
      </c>
      <c r="C641" s="0" t="s">
        <v>443</v>
      </c>
      <c r="D641" s="0" t="s">
        <v>319</v>
      </c>
      <c r="E641" s="0" t="s">
        <v>444</v>
      </c>
      <c r="F641" s="0" t="s">
        <v>141</v>
      </c>
      <c r="G641" s="0" t="s">
        <v>206</v>
      </c>
      <c r="H641" s="6" t="n">
        <f aca="false">'Export-dataset'!BM13</f>
        <v>190</v>
      </c>
    </row>
    <row r="642" customFormat="false" ht="15" hidden="false" customHeight="false" outlineLevel="0" collapsed="false">
      <c r="A642" s="0" t="s">
        <v>61</v>
      </c>
      <c r="B642" s="0" t="n">
        <v>2016</v>
      </c>
      <c r="C642" s="0" t="s">
        <v>445</v>
      </c>
      <c r="D642" s="0" t="s">
        <v>319</v>
      </c>
      <c r="E642" s="0" t="s">
        <v>446</v>
      </c>
      <c r="F642" s="0" t="s">
        <v>141</v>
      </c>
      <c r="G642" s="0" t="s">
        <v>207</v>
      </c>
      <c r="H642" s="6" t="n">
        <f aca="false">'Export-dataset'!BN4</f>
        <v>133</v>
      </c>
    </row>
    <row r="643" customFormat="false" ht="15" hidden="false" customHeight="false" outlineLevel="0" collapsed="false">
      <c r="A643" s="0" t="s">
        <v>61</v>
      </c>
      <c r="B643" s="0" t="n">
        <v>2017</v>
      </c>
      <c r="C643" s="0" t="s">
        <v>445</v>
      </c>
      <c r="D643" s="0" t="s">
        <v>319</v>
      </c>
      <c r="E643" s="0" t="s">
        <v>446</v>
      </c>
      <c r="F643" s="0" t="s">
        <v>141</v>
      </c>
      <c r="G643" s="0" t="s">
        <v>207</v>
      </c>
      <c r="H643" s="6" t="n">
        <f aca="false">'Export-dataset'!BN5</f>
        <v>141</v>
      </c>
    </row>
    <row r="644" customFormat="false" ht="15" hidden="false" customHeight="false" outlineLevel="0" collapsed="false">
      <c r="A644" s="0" t="s">
        <v>61</v>
      </c>
      <c r="B644" s="0" t="n">
        <v>2018</v>
      </c>
      <c r="C644" s="0" t="s">
        <v>445</v>
      </c>
      <c r="D644" s="0" t="s">
        <v>319</v>
      </c>
      <c r="E644" s="0" t="s">
        <v>446</v>
      </c>
      <c r="F644" s="0" t="s">
        <v>141</v>
      </c>
      <c r="G644" s="0" t="s">
        <v>207</v>
      </c>
      <c r="H644" s="6" t="n">
        <f aca="false">'Export-dataset'!BN6</f>
        <v>152</v>
      </c>
    </row>
    <row r="645" customFormat="false" ht="15" hidden="false" customHeight="false" outlineLevel="0" collapsed="false">
      <c r="A645" s="0" t="s">
        <v>61</v>
      </c>
      <c r="B645" s="0" t="n">
        <v>2019</v>
      </c>
      <c r="C645" s="0" t="s">
        <v>445</v>
      </c>
      <c r="D645" s="0" t="s">
        <v>319</v>
      </c>
      <c r="E645" s="0" t="s">
        <v>446</v>
      </c>
      <c r="F645" s="0" t="s">
        <v>141</v>
      </c>
      <c r="G645" s="0" t="s">
        <v>207</v>
      </c>
      <c r="H645" s="6" t="n">
        <f aca="false">'Export-dataset'!BN7</f>
        <v>182</v>
      </c>
    </row>
    <row r="646" customFormat="false" ht="15" hidden="false" customHeight="false" outlineLevel="0" collapsed="false">
      <c r="A646" s="0" t="s">
        <v>61</v>
      </c>
      <c r="B646" s="0" t="n">
        <v>2020</v>
      </c>
      <c r="C646" s="0" t="s">
        <v>445</v>
      </c>
      <c r="D646" s="0" t="s">
        <v>319</v>
      </c>
      <c r="E646" s="0" t="s">
        <v>446</v>
      </c>
      <c r="F646" s="0" t="s">
        <v>141</v>
      </c>
      <c r="G646" s="0" t="s">
        <v>207</v>
      </c>
      <c r="H646" s="6" t="n">
        <f aca="false">'Export-dataset'!BN8</f>
        <v>136</v>
      </c>
    </row>
    <row r="647" customFormat="false" ht="15" hidden="false" customHeight="false" outlineLevel="0" collapsed="false">
      <c r="A647" s="0" t="s">
        <v>61</v>
      </c>
      <c r="B647" s="0" t="n">
        <v>2021</v>
      </c>
      <c r="C647" s="0" t="s">
        <v>445</v>
      </c>
      <c r="D647" s="0" t="s">
        <v>319</v>
      </c>
      <c r="E647" s="0" t="s">
        <v>446</v>
      </c>
      <c r="F647" s="0" t="s">
        <v>141</v>
      </c>
      <c r="G647" s="0" t="s">
        <v>207</v>
      </c>
      <c r="H647" s="6" t="n">
        <f aca="false">'Export-dataset'!BN9</f>
        <v>145</v>
      </c>
    </row>
    <row r="648" customFormat="false" ht="15" hidden="false" customHeight="false" outlineLevel="0" collapsed="false">
      <c r="A648" s="0" t="s">
        <v>61</v>
      </c>
      <c r="B648" s="0" t="n">
        <v>2022</v>
      </c>
      <c r="C648" s="0" t="s">
        <v>445</v>
      </c>
      <c r="D648" s="0" t="s">
        <v>319</v>
      </c>
      <c r="E648" s="0" t="s">
        <v>446</v>
      </c>
      <c r="F648" s="0" t="s">
        <v>141</v>
      </c>
      <c r="G648" s="0" t="s">
        <v>207</v>
      </c>
      <c r="H648" s="6" t="n">
        <f aca="false">'Export-dataset'!BN10</f>
        <v>166</v>
      </c>
    </row>
    <row r="649" customFormat="false" ht="15" hidden="false" customHeight="false" outlineLevel="0" collapsed="false">
      <c r="A649" s="0" t="s">
        <v>61</v>
      </c>
      <c r="B649" s="0" t="n">
        <v>2023</v>
      </c>
      <c r="C649" s="0" t="s">
        <v>445</v>
      </c>
      <c r="D649" s="0" t="s">
        <v>319</v>
      </c>
      <c r="E649" s="0" t="s">
        <v>446</v>
      </c>
      <c r="F649" s="0" t="s">
        <v>141</v>
      </c>
      <c r="G649" s="0" t="s">
        <v>207</v>
      </c>
      <c r="H649" s="6" t="n">
        <f aca="false">'Export-dataset'!BN11</f>
        <v>188</v>
      </c>
    </row>
    <row r="650" customFormat="false" ht="15" hidden="false" customHeight="false" outlineLevel="0" collapsed="false">
      <c r="A650" s="0" t="s">
        <v>61</v>
      </c>
      <c r="B650" s="0" t="n">
        <v>2024</v>
      </c>
      <c r="C650" s="0" t="s">
        <v>445</v>
      </c>
      <c r="D650" s="0" t="s">
        <v>319</v>
      </c>
      <c r="E650" s="0" t="s">
        <v>446</v>
      </c>
      <c r="F650" s="0" t="s">
        <v>141</v>
      </c>
      <c r="G650" s="0" t="s">
        <v>207</v>
      </c>
      <c r="H650" s="6" t="n">
        <f aca="false">'Export-dataset'!BN12</f>
        <v>169</v>
      </c>
    </row>
    <row r="651" customFormat="false" ht="15" hidden="false" customHeight="false" outlineLevel="0" collapsed="false">
      <c r="A651" s="0" t="s">
        <v>61</v>
      </c>
      <c r="B651" s="0" t="n">
        <v>2025</v>
      </c>
      <c r="C651" s="0" t="s">
        <v>445</v>
      </c>
      <c r="D651" s="0" t="s">
        <v>319</v>
      </c>
      <c r="E651" s="0" t="s">
        <v>446</v>
      </c>
      <c r="F651" s="0" t="s">
        <v>141</v>
      </c>
      <c r="G651" s="0" t="s">
        <v>207</v>
      </c>
      <c r="H651" s="6" t="n">
        <f aca="false">'Export-dataset'!BN13</f>
        <v>173</v>
      </c>
    </row>
    <row r="652" customFormat="false" ht="15" hidden="false" customHeight="false" outlineLevel="0" collapsed="false">
      <c r="A652" s="0" t="s">
        <v>61</v>
      </c>
      <c r="B652" s="0" t="n">
        <v>2016</v>
      </c>
      <c r="C652" s="0" t="s">
        <v>447</v>
      </c>
      <c r="D652" s="0" t="s">
        <v>319</v>
      </c>
      <c r="E652" s="0" t="s">
        <v>448</v>
      </c>
      <c r="F652" s="0" t="s">
        <v>141</v>
      </c>
      <c r="G652" s="0" t="s">
        <v>208</v>
      </c>
      <c r="H652" s="6" t="n">
        <f aca="false">'Export-dataset'!BO4</f>
        <v>64</v>
      </c>
    </row>
    <row r="653" customFormat="false" ht="15" hidden="false" customHeight="false" outlineLevel="0" collapsed="false">
      <c r="A653" s="0" t="s">
        <v>61</v>
      </c>
      <c r="B653" s="0" t="n">
        <v>2017</v>
      </c>
      <c r="C653" s="0" t="s">
        <v>447</v>
      </c>
      <c r="D653" s="0" t="s">
        <v>319</v>
      </c>
      <c r="E653" s="0" t="s">
        <v>448</v>
      </c>
      <c r="F653" s="0" t="s">
        <v>141</v>
      </c>
      <c r="G653" s="0" t="s">
        <v>208</v>
      </c>
      <c r="H653" s="6" t="n">
        <f aca="false">'Export-dataset'!BO5</f>
        <v>70</v>
      </c>
    </row>
    <row r="654" customFormat="false" ht="15" hidden="false" customHeight="false" outlineLevel="0" collapsed="false">
      <c r="A654" s="0" t="s">
        <v>61</v>
      </c>
      <c r="B654" s="0" t="n">
        <v>2018</v>
      </c>
      <c r="C654" s="0" t="s">
        <v>447</v>
      </c>
      <c r="D654" s="0" t="s">
        <v>319</v>
      </c>
      <c r="E654" s="0" t="s">
        <v>448</v>
      </c>
      <c r="F654" s="0" t="s">
        <v>141</v>
      </c>
      <c r="G654" s="0" t="s">
        <v>208</v>
      </c>
      <c r="H654" s="6" t="n">
        <f aca="false">'Export-dataset'!BO6</f>
        <v>80</v>
      </c>
    </row>
    <row r="655" customFormat="false" ht="15" hidden="false" customHeight="false" outlineLevel="0" collapsed="false">
      <c r="A655" s="0" t="s">
        <v>61</v>
      </c>
      <c r="B655" s="0" t="n">
        <v>2019</v>
      </c>
      <c r="C655" s="0" t="s">
        <v>447</v>
      </c>
      <c r="D655" s="0" t="s">
        <v>319</v>
      </c>
      <c r="E655" s="0" t="s">
        <v>448</v>
      </c>
      <c r="F655" s="0" t="s">
        <v>141</v>
      </c>
      <c r="G655" s="0" t="s">
        <v>208</v>
      </c>
      <c r="H655" s="6" t="n">
        <f aca="false">'Export-dataset'!BO7</f>
        <v>94</v>
      </c>
    </row>
    <row r="656" customFormat="false" ht="15" hidden="false" customHeight="false" outlineLevel="0" collapsed="false">
      <c r="A656" s="0" t="s">
        <v>61</v>
      </c>
      <c r="B656" s="0" t="n">
        <v>2020</v>
      </c>
      <c r="C656" s="0" t="s">
        <v>447</v>
      </c>
      <c r="D656" s="0" t="s">
        <v>319</v>
      </c>
      <c r="E656" s="0" t="s">
        <v>448</v>
      </c>
      <c r="F656" s="0" t="s">
        <v>141</v>
      </c>
      <c r="G656" s="0" t="s">
        <v>208</v>
      </c>
      <c r="H656" s="6" t="n">
        <f aca="false">'Export-dataset'!BO8</f>
        <v>112</v>
      </c>
    </row>
    <row r="657" customFormat="false" ht="15" hidden="false" customHeight="false" outlineLevel="0" collapsed="false">
      <c r="A657" s="0" t="s">
        <v>61</v>
      </c>
      <c r="B657" s="0" t="n">
        <v>2021</v>
      </c>
      <c r="C657" s="0" t="s">
        <v>447</v>
      </c>
      <c r="D657" s="0" t="s">
        <v>319</v>
      </c>
      <c r="E657" s="0" t="s">
        <v>448</v>
      </c>
      <c r="F657" s="0" t="s">
        <v>141</v>
      </c>
      <c r="G657" s="0" t="s">
        <v>208</v>
      </c>
      <c r="H657" s="6" t="n">
        <f aca="false">'Export-dataset'!BO9</f>
        <v>116</v>
      </c>
    </row>
    <row r="658" customFormat="false" ht="15" hidden="false" customHeight="false" outlineLevel="0" collapsed="false">
      <c r="A658" s="0" t="s">
        <v>61</v>
      </c>
      <c r="B658" s="0" t="n">
        <v>2022</v>
      </c>
      <c r="C658" s="0" t="s">
        <v>447</v>
      </c>
      <c r="D658" s="0" t="s">
        <v>319</v>
      </c>
      <c r="E658" s="0" t="s">
        <v>448</v>
      </c>
      <c r="F658" s="0" t="s">
        <v>141</v>
      </c>
      <c r="G658" s="0" t="s">
        <v>208</v>
      </c>
      <c r="H658" s="6" t="n">
        <f aca="false">'Export-dataset'!BO10</f>
        <v>201</v>
      </c>
    </row>
    <row r="659" customFormat="false" ht="15" hidden="false" customHeight="false" outlineLevel="0" collapsed="false">
      <c r="A659" s="0" t="s">
        <v>61</v>
      </c>
      <c r="B659" s="0" t="n">
        <v>2023</v>
      </c>
      <c r="C659" s="0" t="s">
        <v>447</v>
      </c>
      <c r="D659" s="0" t="s">
        <v>319</v>
      </c>
      <c r="E659" s="0" t="s">
        <v>448</v>
      </c>
      <c r="F659" s="0" t="s">
        <v>141</v>
      </c>
      <c r="G659" s="0" t="s">
        <v>208</v>
      </c>
      <c r="H659" s="6" t="n">
        <f aca="false">'Export-dataset'!BO11</f>
        <v>188</v>
      </c>
    </row>
    <row r="660" customFormat="false" ht="15" hidden="false" customHeight="false" outlineLevel="0" collapsed="false">
      <c r="A660" s="0" t="s">
        <v>61</v>
      </c>
      <c r="B660" s="0" t="n">
        <v>2024</v>
      </c>
      <c r="C660" s="0" t="s">
        <v>447</v>
      </c>
      <c r="D660" s="0" t="s">
        <v>319</v>
      </c>
      <c r="E660" s="0" t="s">
        <v>448</v>
      </c>
      <c r="F660" s="0" t="s">
        <v>141</v>
      </c>
      <c r="G660" s="0" t="s">
        <v>208</v>
      </c>
      <c r="H660" s="6" t="n">
        <f aca="false">'Export-dataset'!BO12</f>
        <v>178</v>
      </c>
    </row>
    <row r="661" customFormat="false" ht="15" hidden="false" customHeight="false" outlineLevel="0" collapsed="false">
      <c r="A661" s="0" t="s">
        <v>61</v>
      </c>
      <c r="B661" s="0" t="n">
        <v>2025</v>
      </c>
      <c r="C661" s="0" t="s">
        <v>447</v>
      </c>
      <c r="D661" s="0" t="s">
        <v>319</v>
      </c>
      <c r="E661" s="0" t="s">
        <v>448</v>
      </c>
      <c r="F661" s="0" t="s">
        <v>141</v>
      </c>
      <c r="G661" s="0" t="s">
        <v>208</v>
      </c>
      <c r="H661" s="6" t="n">
        <f aca="false">'Export-dataset'!BO13</f>
        <v>183</v>
      </c>
    </row>
    <row r="662" customFormat="false" ht="15" hidden="false" customHeight="false" outlineLevel="0" collapsed="false">
      <c r="A662" s="0" t="s">
        <v>61</v>
      </c>
      <c r="B662" s="0" t="n">
        <v>2016</v>
      </c>
      <c r="C662" s="0" t="s">
        <v>449</v>
      </c>
      <c r="D662" s="0" t="s">
        <v>319</v>
      </c>
      <c r="E662" s="0" t="s">
        <v>450</v>
      </c>
      <c r="F662" s="0" t="s">
        <v>141</v>
      </c>
      <c r="G662" s="0" t="s">
        <v>209</v>
      </c>
      <c r="H662" s="6" t="n">
        <f aca="false">'Export-dataset'!BP4</f>
        <v>328</v>
      </c>
    </row>
    <row r="663" customFormat="false" ht="15" hidden="false" customHeight="false" outlineLevel="0" collapsed="false">
      <c r="A663" s="0" t="s">
        <v>61</v>
      </c>
      <c r="B663" s="0" t="n">
        <v>2017</v>
      </c>
      <c r="C663" s="0" t="s">
        <v>449</v>
      </c>
      <c r="D663" s="0" t="s">
        <v>319</v>
      </c>
      <c r="E663" s="0" t="s">
        <v>450</v>
      </c>
      <c r="F663" s="0" t="s">
        <v>141</v>
      </c>
      <c r="G663" s="0" t="s">
        <v>209</v>
      </c>
      <c r="H663" s="6" t="n">
        <f aca="false">'Export-dataset'!BP5</f>
        <v>328</v>
      </c>
    </row>
    <row r="664" customFormat="false" ht="15" hidden="false" customHeight="false" outlineLevel="0" collapsed="false">
      <c r="A664" s="0" t="s">
        <v>61</v>
      </c>
      <c r="B664" s="0" t="n">
        <v>2018</v>
      </c>
      <c r="C664" s="0" t="s">
        <v>449</v>
      </c>
      <c r="D664" s="0" t="s">
        <v>319</v>
      </c>
      <c r="E664" s="0" t="s">
        <v>450</v>
      </c>
      <c r="F664" s="0" t="s">
        <v>141</v>
      </c>
      <c r="G664" s="0" t="s">
        <v>209</v>
      </c>
      <c r="H664" s="6" t="n">
        <f aca="false">'Export-dataset'!BP6</f>
        <v>336</v>
      </c>
    </row>
    <row r="665" customFormat="false" ht="15" hidden="false" customHeight="false" outlineLevel="0" collapsed="false">
      <c r="A665" s="0" t="s">
        <v>61</v>
      </c>
      <c r="B665" s="0" t="n">
        <v>2019</v>
      </c>
      <c r="C665" s="0" t="s">
        <v>449</v>
      </c>
      <c r="D665" s="0" t="s">
        <v>319</v>
      </c>
      <c r="E665" s="0" t="s">
        <v>450</v>
      </c>
      <c r="F665" s="0" t="s">
        <v>141</v>
      </c>
      <c r="G665" s="0" t="s">
        <v>209</v>
      </c>
      <c r="H665" s="6" t="n">
        <f aca="false">'Export-dataset'!BP7</f>
        <v>377</v>
      </c>
    </row>
    <row r="666" customFormat="false" ht="15" hidden="false" customHeight="false" outlineLevel="0" collapsed="false">
      <c r="A666" s="0" t="s">
        <v>61</v>
      </c>
      <c r="B666" s="0" t="n">
        <v>2020</v>
      </c>
      <c r="C666" s="0" t="s">
        <v>449</v>
      </c>
      <c r="D666" s="0" t="s">
        <v>319</v>
      </c>
      <c r="E666" s="0" t="s">
        <v>450</v>
      </c>
      <c r="F666" s="0" t="s">
        <v>141</v>
      </c>
      <c r="G666" s="0" t="s">
        <v>209</v>
      </c>
      <c r="H666" s="6" t="n">
        <f aca="false">'Export-dataset'!BP8</f>
        <v>387</v>
      </c>
    </row>
    <row r="667" customFormat="false" ht="15" hidden="false" customHeight="false" outlineLevel="0" collapsed="false">
      <c r="A667" s="0" t="s">
        <v>61</v>
      </c>
      <c r="B667" s="0" t="n">
        <v>2021</v>
      </c>
      <c r="C667" s="0" t="s">
        <v>449</v>
      </c>
      <c r="D667" s="0" t="s">
        <v>319</v>
      </c>
      <c r="E667" s="0" t="s">
        <v>450</v>
      </c>
      <c r="F667" s="0" t="s">
        <v>141</v>
      </c>
      <c r="G667" s="0" t="s">
        <v>209</v>
      </c>
      <c r="H667" s="6" t="n">
        <f aca="false">'Export-dataset'!BP9</f>
        <v>480</v>
      </c>
    </row>
    <row r="668" customFormat="false" ht="15" hidden="false" customHeight="false" outlineLevel="0" collapsed="false">
      <c r="A668" s="0" t="s">
        <v>61</v>
      </c>
      <c r="B668" s="0" t="n">
        <v>2022</v>
      </c>
      <c r="C668" s="0" t="s">
        <v>449</v>
      </c>
      <c r="D668" s="0" t="s">
        <v>319</v>
      </c>
      <c r="E668" s="0" t="s">
        <v>450</v>
      </c>
      <c r="F668" s="0" t="s">
        <v>141</v>
      </c>
      <c r="G668" s="0" t="s">
        <v>209</v>
      </c>
      <c r="H668" s="6" t="n">
        <f aca="false">'Export-dataset'!BP10</f>
        <v>649</v>
      </c>
    </row>
    <row r="669" customFormat="false" ht="15" hidden="false" customHeight="false" outlineLevel="0" collapsed="false">
      <c r="A669" s="0" t="s">
        <v>61</v>
      </c>
      <c r="B669" s="0" t="n">
        <v>2023</v>
      </c>
      <c r="C669" s="0" t="s">
        <v>449</v>
      </c>
      <c r="D669" s="0" t="s">
        <v>319</v>
      </c>
      <c r="E669" s="0" t="s">
        <v>450</v>
      </c>
      <c r="F669" s="0" t="s">
        <v>141</v>
      </c>
      <c r="G669" s="0" t="s">
        <v>209</v>
      </c>
      <c r="H669" s="6" t="n">
        <f aca="false">'Export-dataset'!BP11</f>
        <v>706</v>
      </c>
    </row>
    <row r="670" customFormat="false" ht="15" hidden="false" customHeight="false" outlineLevel="0" collapsed="false">
      <c r="A670" s="0" t="s">
        <v>61</v>
      </c>
      <c r="B670" s="0" t="n">
        <v>2024</v>
      </c>
      <c r="C670" s="0" t="s">
        <v>449</v>
      </c>
      <c r="D670" s="0" t="s">
        <v>319</v>
      </c>
      <c r="E670" s="0" t="s">
        <v>450</v>
      </c>
      <c r="F670" s="0" t="s">
        <v>141</v>
      </c>
      <c r="G670" s="0" t="s">
        <v>209</v>
      </c>
      <c r="H670" s="6" t="n">
        <f aca="false">'Export-dataset'!BP12</f>
        <v>773</v>
      </c>
    </row>
    <row r="671" customFormat="false" ht="15" hidden="false" customHeight="false" outlineLevel="0" collapsed="false">
      <c r="A671" s="0" t="s">
        <v>61</v>
      </c>
      <c r="B671" s="0" t="n">
        <v>2025</v>
      </c>
      <c r="C671" s="0" t="s">
        <v>449</v>
      </c>
      <c r="D671" s="0" t="s">
        <v>319</v>
      </c>
      <c r="E671" s="0" t="s">
        <v>450</v>
      </c>
      <c r="F671" s="0" t="s">
        <v>141</v>
      </c>
      <c r="G671" s="0" t="s">
        <v>209</v>
      </c>
      <c r="H671" s="6" t="n">
        <f aca="false">'Export-dataset'!BP13</f>
        <v>774</v>
      </c>
    </row>
    <row r="672" customFormat="false" ht="15" hidden="false" customHeight="false" outlineLevel="0" collapsed="false">
      <c r="A672" s="0" t="s">
        <v>61</v>
      </c>
      <c r="B672" s="0" t="n">
        <v>2016</v>
      </c>
      <c r="C672" s="0" t="s">
        <v>451</v>
      </c>
      <c r="D672" s="0" t="s">
        <v>319</v>
      </c>
      <c r="E672" s="0" t="s">
        <v>452</v>
      </c>
      <c r="F672" s="0" t="s">
        <v>141</v>
      </c>
      <c r="G672" s="0" t="s">
        <v>210</v>
      </c>
      <c r="H672" s="6" t="n">
        <f aca="false">'Export-dataset'!BQ4</f>
        <v>92</v>
      </c>
    </row>
    <row r="673" customFormat="false" ht="15" hidden="false" customHeight="false" outlineLevel="0" collapsed="false">
      <c r="A673" s="0" t="s">
        <v>61</v>
      </c>
      <c r="B673" s="0" t="n">
        <v>2017</v>
      </c>
      <c r="C673" s="0" t="s">
        <v>451</v>
      </c>
      <c r="D673" s="0" t="s">
        <v>319</v>
      </c>
      <c r="E673" s="0" t="s">
        <v>452</v>
      </c>
      <c r="F673" s="0" t="s">
        <v>141</v>
      </c>
      <c r="G673" s="0" t="s">
        <v>210</v>
      </c>
      <c r="H673" s="6" t="n">
        <f aca="false">'Export-dataset'!BQ5</f>
        <v>115</v>
      </c>
    </row>
    <row r="674" customFormat="false" ht="15" hidden="false" customHeight="false" outlineLevel="0" collapsed="false">
      <c r="A674" s="0" t="s">
        <v>61</v>
      </c>
      <c r="B674" s="0" t="n">
        <v>2018</v>
      </c>
      <c r="C674" s="0" t="s">
        <v>451</v>
      </c>
      <c r="D674" s="0" t="s">
        <v>319</v>
      </c>
      <c r="E674" s="0" t="s">
        <v>452</v>
      </c>
      <c r="F674" s="0" t="s">
        <v>141</v>
      </c>
      <c r="G674" s="0" t="s">
        <v>210</v>
      </c>
      <c r="H674" s="6" t="n">
        <f aca="false">'Export-dataset'!BQ6</f>
        <v>124</v>
      </c>
    </row>
    <row r="675" customFormat="false" ht="15" hidden="false" customHeight="false" outlineLevel="0" collapsed="false">
      <c r="A675" s="0" t="s">
        <v>61</v>
      </c>
      <c r="B675" s="0" t="n">
        <v>2019</v>
      </c>
      <c r="C675" s="0" t="s">
        <v>451</v>
      </c>
      <c r="D675" s="0" t="s">
        <v>319</v>
      </c>
      <c r="E675" s="0" t="s">
        <v>452</v>
      </c>
      <c r="F675" s="0" t="s">
        <v>141</v>
      </c>
      <c r="G675" s="0" t="s">
        <v>210</v>
      </c>
      <c r="H675" s="6" t="n">
        <f aca="false">'Export-dataset'!BQ7</f>
        <v>122</v>
      </c>
    </row>
    <row r="676" customFormat="false" ht="15" hidden="false" customHeight="false" outlineLevel="0" collapsed="false">
      <c r="A676" s="0" t="s">
        <v>61</v>
      </c>
      <c r="B676" s="0" t="n">
        <v>2020</v>
      </c>
      <c r="C676" s="0" t="s">
        <v>451</v>
      </c>
      <c r="D676" s="0" t="s">
        <v>319</v>
      </c>
      <c r="E676" s="0" t="s">
        <v>452</v>
      </c>
      <c r="F676" s="0" t="s">
        <v>141</v>
      </c>
      <c r="G676" s="0" t="s">
        <v>210</v>
      </c>
      <c r="H676" s="6" t="n">
        <f aca="false">'Export-dataset'!BQ8</f>
        <v>129</v>
      </c>
    </row>
    <row r="677" customFormat="false" ht="15" hidden="false" customHeight="false" outlineLevel="0" collapsed="false">
      <c r="A677" s="0" t="s">
        <v>61</v>
      </c>
      <c r="B677" s="0" t="n">
        <v>2021</v>
      </c>
      <c r="C677" s="0" t="s">
        <v>451</v>
      </c>
      <c r="D677" s="0" t="s">
        <v>319</v>
      </c>
      <c r="E677" s="0" t="s">
        <v>452</v>
      </c>
      <c r="F677" s="0" t="s">
        <v>141</v>
      </c>
      <c r="G677" s="0" t="s">
        <v>210</v>
      </c>
      <c r="H677" s="6" t="n">
        <f aca="false">'Export-dataset'!BQ9</f>
        <v>119</v>
      </c>
    </row>
    <row r="678" customFormat="false" ht="15" hidden="false" customHeight="false" outlineLevel="0" collapsed="false">
      <c r="A678" s="0" t="s">
        <v>61</v>
      </c>
      <c r="B678" s="0" t="n">
        <v>2022</v>
      </c>
      <c r="C678" s="0" t="s">
        <v>451</v>
      </c>
      <c r="D678" s="0" t="s">
        <v>319</v>
      </c>
      <c r="E678" s="0" t="s">
        <v>452</v>
      </c>
      <c r="F678" s="0" t="s">
        <v>141</v>
      </c>
      <c r="G678" s="0" t="s">
        <v>210</v>
      </c>
      <c r="H678" s="6" t="n">
        <f aca="false">'Export-dataset'!BQ10</f>
        <v>141</v>
      </c>
    </row>
    <row r="679" customFormat="false" ht="15" hidden="false" customHeight="false" outlineLevel="0" collapsed="false">
      <c r="A679" s="0" t="s">
        <v>61</v>
      </c>
      <c r="B679" s="0" t="n">
        <v>2023</v>
      </c>
      <c r="C679" s="0" t="s">
        <v>451</v>
      </c>
      <c r="D679" s="0" t="s">
        <v>319</v>
      </c>
      <c r="E679" s="0" t="s">
        <v>452</v>
      </c>
      <c r="F679" s="0" t="s">
        <v>141</v>
      </c>
      <c r="G679" s="0" t="s">
        <v>210</v>
      </c>
      <c r="H679" s="6" t="n">
        <f aca="false">'Export-dataset'!BQ11</f>
        <v>181</v>
      </c>
    </row>
    <row r="680" customFormat="false" ht="15" hidden="false" customHeight="false" outlineLevel="0" collapsed="false">
      <c r="A680" s="0" t="s">
        <v>61</v>
      </c>
      <c r="B680" s="0" t="n">
        <v>2024</v>
      </c>
      <c r="C680" s="0" t="s">
        <v>451</v>
      </c>
      <c r="D680" s="0" t="s">
        <v>319</v>
      </c>
      <c r="E680" s="0" t="s">
        <v>452</v>
      </c>
      <c r="F680" s="0" t="s">
        <v>141</v>
      </c>
      <c r="G680" s="0" t="s">
        <v>210</v>
      </c>
      <c r="H680" s="6" t="n">
        <f aca="false">'Export-dataset'!BQ12</f>
        <v>191</v>
      </c>
    </row>
    <row r="681" customFormat="false" ht="15" hidden="false" customHeight="false" outlineLevel="0" collapsed="false">
      <c r="A681" s="0" t="s">
        <v>61</v>
      </c>
      <c r="B681" s="0" t="n">
        <v>2025</v>
      </c>
      <c r="C681" s="0" t="s">
        <v>451</v>
      </c>
      <c r="D681" s="0" t="s">
        <v>319</v>
      </c>
      <c r="E681" s="0" t="s">
        <v>452</v>
      </c>
      <c r="F681" s="0" t="s">
        <v>141</v>
      </c>
      <c r="G681" s="0" t="s">
        <v>210</v>
      </c>
      <c r="H681" s="6" t="n">
        <f aca="false">'Export-dataset'!BQ13</f>
        <v>187</v>
      </c>
    </row>
    <row r="682" customFormat="false" ht="15" hidden="false" customHeight="false" outlineLevel="0" collapsed="false">
      <c r="A682" s="0" t="s">
        <v>61</v>
      </c>
      <c r="B682" s="0" t="n">
        <v>2016</v>
      </c>
      <c r="C682" s="0" t="s">
        <v>453</v>
      </c>
      <c r="D682" s="0" t="s">
        <v>319</v>
      </c>
      <c r="E682" s="0" t="s">
        <v>454</v>
      </c>
      <c r="F682" s="0" t="s">
        <v>141</v>
      </c>
      <c r="G682" s="0" t="s">
        <v>211</v>
      </c>
      <c r="H682" s="6" t="n">
        <f aca="false">'Export-dataset'!BR4</f>
        <v>2532</v>
      </c>
    </row>
    <row r="683" customFormat="false" ht="15" hidden="false" customHeight="false" outlineLevel="0" collapsed="false">
      <c r="A683" s="0" t="s">
        <v>61</v>
      </c>
      <c r="B683" s="0" t="n">
        <v>2017</v>
      </c>
      <c r="C683" s="0" t="s">
        <v>453</v>
      </c>
      <c r="D683" s="0" t="s">
        <v>319</v>
      </c>
      <c r="E683" s="0" t="s">
        <v>454</v>
      </c>
      <c r="F683" s="0" t="s">
        <v>141</v>
      </c>
      <c r="G683" s="0" t="s">
        <v>211</v>
      </c>
      <c r="H683" s="6" t="n">
        <f aca="false">'Export-dataset'!BR5</f>
        <v>2619</v>
      </c>
    </row>
    <row r="684" customFormat="false" ht="15" hidden="false" customHeight="false" outlineLevel="0" collapsed="false">
      <c r="A684" s="0" t="s">
        <v>61</v>
      </c>
      <c r="B684" s="0" t="n">
        <v>2018</v>
      </c>
      <c r="C684" s="0" t="s">
        <v>453</v>
      </c>
      <c r="D684" s="0" t="s">
        <v>319</v>
      </c>
      <c r="E684" s="0" t="s">
        <v>454</v>
      </c>
      <c r="F684" s="0" t="s">
        <v>141</v>
      </c>
      <c r="G684" s="0" t="s">
        <v>211</v>
      </c>
      <c r="H684" s="6" t="n">
        <f aca="false">'Export-dataset'!BR6</f>
        <v>2765</v>
      </c>
    </row>
    <row r="685" customFormat="false" ht="15" hidden="false" customHeight="false" outlineLevel="0" collapsed="false">
      <c r="A685" s="0" t="s">
        <v>61</v>
      </c>
      <c r="B685" s="0" t="n">
        <v>2019</v>
      </c>
      <c r="C685" s="0" t="s">
        <v>453</v>
      </c>
      <c r="D685" s="0" t="s">
        <v>319</v>
      </c>
      <c r="E685" s="0" t="s">
        <v>454</v>
      </c>
      <c r="F685" s="0" t="s">
        <v>141</v>
      </c>
      <c r="G685" s="0" t="s">
        <v>211</v>
      </c>
      <c r="H685" s="6" t="n">
        <f aca="false">'Export-dataset'!BR7</f>
        <v>3906</v>
      </c>
    </row>
    <row r="686" customFormat="false" ht="15" hidden="false" customHeight="false" outlineLevel="0" collapsed="false">
      <c r="A686" s="0" t="s">
        <v>61</v>
      </c>
      <c r="B686" s="0" t="n">
        <v>2020</v>
      </c>
      <c r="C686" s="0" t="s">
        <v>453</v>
      </c>
      <c r="D686" s="0" t="s">
        <v>319</v>
      </c>
      <c r="E686" s="0" t="s">
        <v>454</v>
      </c>
      <c r="F686" s="0" t="s">
        <v>141</v>
      </c>
      <c r="G686" s="0" t="s">
        <v>211</v>
      </c>
      <c r="H686" s="6" t="n">
        <f aca="false">'Export-dataset'!BR8</f>
        <v>3526</v>
      </c>
    </row>
    <row r="687" customFormat="false" ht="15" hidden="false" customHeight="false" outlineLevel="0" collapsed="false">
      <c r="A687" s="0" t="s">
        <v>61</v>
      </c>
      <c r="B687" s="0" t="n">
        <v>2021</v>
      </c>
      <c r="C687" s="0" t="s">
        <v>453</v>
      </c>
      <c r="D687" s="0" t="s">
        <v>319</v>
      </c>
      <c r="E687" s="0" t="s">
        <v>454</v>
      </c>
      <c r="F687" s="0" t="s">
        <v>141</v>
      </c>
      <c r="G687" s="0" t="s">
        <v>211</v>
      </c>
      <c r="H687" s="6" t="n">
        <f aca="false">'Export-dataset'!BR9</f>
        <v>3875</v>
      </c>
    </row>
    <row r="688" customFormat="false" ht="15" hidden="false" customHeight="false" outlineLevel="0" collapsed="false">
      <c r="A688" s="0" t="s">
        <v>61</v>
      </c>
      <c r="B688" s="0" t="n">
        <v>2022</v>
      </c>
      <c r="C688" s="0" t="s">
        <v>453</v>
      </c>
      <c r="D688" s="0" t="s">
        <v>319</v>
      </c>
      <c r="E688" s="0" t="s">
        <v>454</v>
      </c>
      <c r="F688" s="0" t="s">
        <v>141</v>
      </c>
      <c r="G688" s="0" t="s">
        <v>211</v>
      </c>
      <c r="H688" s="6" t="n">
        <f aca="false">'Export-dataset'!BR10</f>
        <v>4409</v>
      </c>
    </row>
    <row r="689" customFormat="false" ht="15" hidden="false" customHeight="false" outlineLevel="0" collapsed="false">
      <c r="A689" s="0" t="s">
        <v>61</v>
      </c>
      <c r="B689" s="0" t="n">
        <v>2023</v>
      </c>
      <c r="C689" s="0" t="s">
        <v>453</v>
      </c>
      <c r="D689" s="0" t="s">
        <v>319</v>
      </c>
      <c r="E689" s="0" t="s">
        <v>454</v>
      </c>
      <c r="F689" s="0" t="s">
        <v>141</v>
      </c>
      <c r="G689" s="0" t="s">
        <v>211</v>
      </c>
      <c r="H689" s="6" t="n">
        <f aca="false">'Export-dataset'!BR11</f>
        <v>4871</v>
      </c>
    </row>
    <row r="690" customFormat="false" ht="15" hidden="false" customHeight="false" outlineLevel="0" collapsed="false">
      <c r="A690" s="0" t="s">
        <v>61</v>
      </c>
      <c r="B690" s="0" t="n">
        <v>2024</v>
      </c>
      <c r="C690" s="0" t="s">
        <v>453</v>
      </c>
      <c r="D690" s="0" t="s">
        <v>319</v>
      </c>
      <c r="E690" s="0" t="s">
        <v>454</v>
      </c>
      <c r="F690" s="0" t="s">
        <v>141</v>
      </c>
      <c r="G690" s="0" t="s">
        <v>211</v>
      </c>
      <c r="H690" s="6" t="n">
        <f aca="false">'Export-dataset'!BR12</f>
        <v>4081</v>
      </c>
    </row>
    <row r="691" customFormat="false" ht="15" hidden="false" customHeight="false" outlineLevel="0" collapsed="false">
      <c r="A691" s="0" t="s">
        <v>61</v>
      </c>
      <c r="B691" s="0" t="n">
        <v>2025</v>
      </c>
      <c r="C691" s="0" t="s">
        <v>453</v>
      </c>
      <c r="D691" s="0" t="s">
        <v>319</v>
      </c>
      <c r="E691" s="0" t="s">
        <v>454</v>
      </c>
      <c r="F691" s="0" t="s">
        <v>141</v>
      </c>
      <c r="G691" s="0" t="s">
        <v>211</v>
      </c>
      <c r="H691" s="6" t="n">
        <f aca="false">'Export-dataset'!BR13</f>
        <v>4293</v>
      </c>
    </row>
    <row r="692" customFormat="false" ht="15" hidden="false" customHeight="false" outlineLevel="0" collapsed="false">
      <c r="A692" s="0" t="s">
        <v>61</v>
      </c>
      <c r="B692" s="0" t="n">
        <v>2016</v>
      </c>
      <c r="C692" s="0" t="s">
        <v>455</v>
      </c>
      <c r="D692" s="0" t="s">
        <v>319</v>
      </c>
      <c r="E692" s="0" t="s">
        <v>456</v>
      </c>
      <c r="F692" s="0" t="s">
        <v>141</v>
      </c>
      <c r="G692" s="0" t="s">
        <v>212</v>
      </c>
      <c r="H692" s="6" t="n">
        <f aca="false">'Export-dataset'!BS4</f>
        <v>409</v>
      </c>
    </row>
    <row r="693" customFormat="false" ht="15" hidden="false" customHeight="false" outlineLevel="0" collapsed="false">
      <c r="A693" s="0" t="s">
        <v>61</v>
      </c>
      <c r="B693" s="0" t="n">
        <v>2017</v>
      </c>
      <c r="C693" s="0" t="s">
        <v>455</v>
      </c>
      <c r="D693" s="0" t="s">
        <v>319</v>
      </c>
      <c r="E693" s="0" t="s">
        <v>456</v>
      </c>
      <c r="F693" s="0" t="s">
        <v>141</v>
      </c>
      <c r="G693" s="0" t="s">
        <v>212</v>
      </c>
      <c r="H693" s="6" t="n">
        <f aca="false">'Export-dataset'!BS5</f>
        <v>427</v>
      </c>
    </row>
    <row r="694" customFormat="false" ht="15" hidden="false" customHeight="false" outlineLevel="0" collapsed="false">
      <c r="A694" s="0" t="s">
        <v>61</v>
      </c>
      <c r="B694" s="0" t="n">
        <v>2018</v>
      </c>
      <c r="C694" s="0" t="s">
        <v>455</v>
      </c>
      <c r="D694" s="0" t="s">
        <v>319</v>
      </c>
      <c r="E694" s="0" t="s">
        <v>456</v>
      </c>
      <c r="F694" s="0" t="s">
        <v>141</v>
      </c>
      <c r="G694" s="0" t="s">
        <v>212</v>
      </c>
      <c r="H694" s="6" t="n">
        <f aca="false">'Export-dataset'!BS6</f>
        <v>440</v>
      </c>
    </row>
    <row r="695" customFormat="false" ht="15" hidden="false" customHeight="false" outlineLevel="0" collapsed="false">
      <c r="A695" s="0" t="s">
        <v>61</v>
      </c>
      <c r="B695" s="0" t="n">
        <v>2019</v>
      </c>
      <c r="C695" s="0" t="s">
        <v>455</v>
      </c>
      <c r="D695" s="0" t="s">
        <v>319</v>
      </c>
      <c r="E695" s="0" t="s">
        <v>456</v>
      </c>
      <c r="F695" s="0" t="s">
        <v>141</v>
      </c>
      <c r="G695" s="0" t="s">
        <v>212</v>
      </c>
      <c r="H695" s="6" t="n">
        <f aca="false">'Export-dataset'!BS7</f>
        <v>466</v>
      </c>
    </row>
    <row r="696" customFormat="false" ht="15" hidden="false" customHeight="false" outlineLevel="0" collapsed="false">
      <c r="A696" s="0" t="s">
        <v>61</v>
      </c>
      <c r="B696" s="0" t="n">
        <v>2020</v>
      </c>
      <c r="C696" s="0" t="s">
        <v>455</v>
      </c>
      <c r="D696" s="0" t="s">
        <v>319</v>
      </c>
      <c r="E696" s="0" t="s">
        <v>456</v>
      </c>
      <c r="F696" s="0" t="s">
        <v>141</v>
      </c>
      <c r="G696" s="0" t="s">
        <v>212</v>
      </c>
      <c r="H696" s="6" t="n">
        <f aca="false">'Export-dataset'!BS8</f>
        <v>432</v>
      </c>
    </row>
    <row r="697" customFormat="false" ht="15" hidden="false" customHeight="false" outlineLevel="0" collapsed="false">
      <c r="A697" s="0" t="s">
        <v>61</v>
      </c>
      <c r="B697" s="0" t="n">
        <v>2021</v>
      </c>
      <c r="C697" s="0" t="s">
        <v>455</v>
      </c>
      <c r="D697" s="0" t="s">
        <v>319</v>
      </c>
      <c r="E697" s="0" t="s">
        <v>456</v>
      </c>
      <c r="F697" s="0" t="s">
        <v>141</v>
      </c>
      <c r="G697" s="0" t="s">
        <v>212</v>
      </c>
      <c r="H697" s="6" t="n">
        <f aca="false">'Export-dataset'!BS9</f>
        <v>453</v>
      </c>
    </row>
    <row r="698" customFormat="false" ht="15" hidden="false" customHeight="false" outlineLevel="0" collapsed="false">
      <c r="A698" s="0" t="s">
        <v>61</v>
      </c>
      <c r="B698" s="0" t="n">
        <v>2022</v>
      </c>
      <c r="C698" s="0" t="s">
        <v>455</v>
      </c>
      <c r="D698" s="0" t="s">
        <v>319</v>
      </c>
      <c r="E698" s="0" t="s">
        <v>456</v>
      </c>
      <c r="F698" s="0" t="s">
        <v>141</v>
      </c>
      <c r="G698" s="0" t="s">
        <v>212</v>
      </c>
      <c r="H698" s="6" t="n">
        <f aca="false">'Export-dataset'!BS10</f>
        <v>506</v>
      </c>
    </row>
    <row r="699" customFormat="false" ht="15" hidden="false" customHeight="false" outlineLevel="0" collapsed="false">
      <c r="A699" s="0" t="s">
        <v>61</v>
      </c>
      <c r="B699" s="0" t="n">
        <v>2023</v>
      </c>
      <c r="C699" s="0" t="s">
        <v>455</v>
      </c>
      <c r="D699" s="0" t="s">
        <v>319</v>
      </c>
      <c r="E699" s="0" t="s">
        <v>456</v>
      </c>
      <c r="F699" s="0" t="s">
        <v>141</v>
      </c>
      <c r="G699" s="0" t="s">
        <v>212</v>
      </c>
      <c r="H699" s="6" t="n">
        <f aca="false">'Export-dataset'!BS11</f>
        <v>576</v>
      </c>
    </row>
    <row r="700" customFormat="false" ht="15" hidden="false" customHeight="false" outlineLevel="0" collapsed="false">
      <c r="A700" s="0" t="s">
        <v>61</v>
      </c>
      <c r="B700" s="0" t="n">
        <v>2024</v>
      </c>
      <c r="C700" s="0" t="s">
        <v>455</v>
      </c>
      <c r="D700" s="0" t="s">
        <v>319</v>
      </c>
      <c r="E700" s="0" t="s">
        <v>456</v>
      </c>
      <c r="F700" s="0" t="s">
        <v>141</v>
      </c>
      <c r="G700" s="0" t="s">
        <v>212</v>
      </c>
      <c r="H700" s="6" t="n">
        <f aca="false">'Export-dataset'!BS12</f>
        <v>611</v>
      </c>
    </row>
    <row r="701" customFormat="false" ht="15" hidden="false" customHeight="false" outlineLevel="0" collapsed="false">
      <c r="A701" s="0" t="s">
        <v>61</v>
      </c>
      <c r="B701" s="0" t="n">
        <v>2025</v>
      </c>
      <c r="C701" s="0" t="s">
        <v>455</v>
      </c>
      <c r="D701" s="0" t="s">
        <v>319</v>
      </c>
      <c r="E701" s="0" t="s">
        <v>456</v>
      </c>
      <c r="F701" s="0" t="s">
        <v>141</v>
      </c>
      <c r="G701" s="0" t="s">
        <v>212</v>
      </c>
      <c r="H701" s="6" t="n">
        <f aca="false">'Export-dataset'!BS13</f>
        <v>659</v>
      </c>
    </row>
    <row r="702" customFormat="false" ht="15" hidden="false" customHeight="false" outlineLevel="0" collapsed="false">
      <c r="A702" s="0" t="s">
        <v>61</v>
      </c>
      <c r="B702" s="0" t="n">
        <v>2016</v>
      </c>
      <c r="C702" s="0" t="s">
        <v>457</v>
      </c>
      <c r="D702" s="0" t="s">
        <v>319</v>
      </c>
      <c r="E702" s="0" t="s">
        <v>458</v>
      </c>
      <c r="F702" s="0" t="s">
        <v>141</v>
      </c>
      <c r="G702" s="0" t="s">
        <v>213</v>
      </c>
      <c r="H702" s="6" t="n">
        <f aca="false">'Export-dataset'!BT4</f>
        <v>2862</v>
      </c>
    </row>
    <row r="703" customFormat="false" ht="15" hidden="false" customHeight="false" outlineLevel="0" collapsed="false">
      <c r="A703" s="0" t="s">
        <v>61</v>
      </c>
      <c r="B703" s="0" t="n">
        <v>2017</v>
      </c>
      <c r="C703" s="0" t="s">
        <v>457</v>
      </c>
      <c r="D703" s="0" t="s">
        <v>319</v>
      </c>
      <c r="E703" s="0" t="s">
        <v>458</v>
      </c>
      <c r="F703" s="0" t="s">
        <v>141</v>
      </c>
      <c r="G703" s="0" t="s">
        <v>213</v>
      </c>
      <c r="H703" s="6" t="n">
        <f aca="false">'Export-dataset'!BT5</f>
        <v>3017</v>
      </c>
    </row>
    <row r="704" customFormat="false" ht="15" hidden="false" customHeight="false" outlineLevel="0" collapsed="false">
      <c r="A704" s="0" t="s">
        <v>61</v>
      </c>
      <c r="B704" s="0" t="n">
        <v>2018</v>
      </c>
      <c r="C704" s="0" t="s">
        <v>457</v>
      </c>
      <c r="D704" s="0" t="s">
        <v>319</v>
      </c>
      <c r="E704" s="0" t="s">
        <v>458</v>
      </c>
      <c r="F704" s="0" t="s">
        <v>141</v>
      </c>
      <c r="G704" s="0" t="s">
        <v>213</v>
      </c>
      <c r="H704" s="6" t="n">
        <f aca="false">'Export-dataset'!BT6</f>
        <v>3231</v>
      </c>
    </row>
    <row r="705" customFormat="false" ht="15" hidden="false" customHeight="false" outlineLevel="0" collapsed="false">
      <c r="A705" s="0" t="s">
        <v>61</v>
      </c>
      <c r="B705" s="0" t="n">
        <v>2019</v>
      </c>
      <c r="C705" s="0" t="s">
        <v>457</v>
      </c>
      <c r="D705" s="0" t="s">
        <v>319</v>
      </c>
      <c r="E705" s="0" t="s">
        <v>458</v>
      </c>
      <c r="F705" s="0" t="s">
        <v>141</v>
      </c>
      <c r="G705" s="0" t="s">
        <v>213</v>
      </c>
      <c r="H705" s="6" t="n">
        <f aca="false">'Export-dataset'!BT7</f>
        <v>2901</v>
      </c>
    </row>
    <row r="706" customFormat="false" ht="15" hidden="false" customHeight="false" outlineLevel="0" collapsed="false">
      <c r="A706" s="0" t="s">
        <v>61</v>
      </c>
      <c r="B706" s="0" t="n">
        <v>2020</v>
      </c>
      <c r="C706" s="0" t="s">
        <v>457</v>
      </c>
      <c r="D706" s="0" t="s">
        <v>319</v>
      </c>
      <c r="E706" s="0" t="s">
        <v>458</v>
      </c>
      <c r="F706" s="0" t="s">
        <v>141</v>
      </c>
      <c r="G706" s="0" t="s">
        <v>213</v>
      </c>
      <c r="H706" s="6" t="n">
        <f aca="false">'Export-dataset'!BT8</f>
        <v>2494</v>
      </c>
    </row>
    <row r="707" customFormat="false" ht="15" hidden="false" customHeight="false" outlineLevel="0" collapsed="false">
      <c r="A707" s="0" t="s">
        <v>61</v>
      </c>
      <c r="B707" s="0" t="n">
        <v>2021</v>
      </c>
      <c r="C707" s="0" t="s">
        <v>457</v>
      </c>
      <c r="D707" s="0" t="s">
        <v>319</v>
      </c>
      <c r="E707" s="0" t="s">
        <v>458</v>
      </c>
      <c r="F707" s="0" t="s">
        <v>141</v>
      </c>
      <c r="G707" s="0" t="s">
        <v>213</v>
      </c>
      <c r="H707" s="6" t="n">
        <f aca="false">'Export-dataset'!BT9</f>
        <v>2646</v>
      </c>
    </row>
    <row r="708" customFormat="false" ht="15" hidden="false" customHeight="false" outlineLevel="0" collapsed="false">
      <c r="A708" s="0" t="s">
        <v>61</v>
      </c>
      <c r="B708" s="0" t="n">
        <v>2022</v>
      </c>
      <c r="C708" s="0" t="s">
        <v>457</v>
      </c>
      <c r="D708" s="0" t="s">
        <v>319</v>
      </c>
      <c r="E708" s="0" t="s">
        <v>458</v>
      </c>
      <c r="F708" s="0" t="s">
        <v>141</v>
      </c>
      <c r="G708" s="0" t="s">
        <v>213</v>
      </c>
      <c r="H708" s="6" t="n">
        <f aca="false">'Export-dataset'!BT10</f>
        <v>2834</v>
      </c>
    </row>
    <row r="709" customFormat="false" ht="15" hidden="false" customHeight="false" outlineLevel="0" collapsed="false">
      <c r="A709" s="0" t="s">
        <v>61</v>
      </c>
      <c r="B709" s="0" t="n">
        <v>2023</v>
      </c>
      <c r="C709" s="0" t="s">
        <v>457</v>
      </c>
      <c r="D709" s="0" t="s">
        <v>319</v>
      </c>
      <c r="E709" s="0" t="s">
        <v>458</v>
      </c>
      <c r="F709" s="0" t="s">
        <v>141</v>
      </c>
      <c r="G709" s="0" t="s">
        <v>213</v>
      </c>
      <c r="H709" s="6" t="n">
        <f aca="false">'Export-dataset'!BT11</f>
        <v>3636</v>
      </c>
    </row>
    <row r="710" customFormat="false" ht="15" hidden="false" customHeight="false" outlineLevel="0" collapsed="false">
      <c r="A710" s="0" t="s">
        <v>61</v>
      </c>
      <c r="B710" s="0" t="n">
        <v>2024</v>
      </c>
      <c r="C710" s="0" t="s">
        <v>457</v>
      </c>
      <c r="D710" s="0" t="s">
        <v>319</v>
      </c>
      <c r="E710" s="0" t="s">
        <v>458</v>
      </c>
      <c r="F710" s="0" t="s">
        <v>141</v>
      </c>
      <c r="G710" s="0" t="s">
        <v>213</v>
      </c>
      <c r="H710" s="6" t="n">
        <f aca="false">'Export-dataset'!BT12</f>
        <v>4777</v>
      </c>
    </row>
    <row r="711" customFormat="false" ht="15" hidden="false" customHeight="false" outlineLevel="0" collapsed="false">
      <c r="A711" s="0" t="s">
        <v>61</v>
      </c>
      <c r="B711" s="0" t="n">
        <v>2025</v>
      </c>
      <c r="C711" s="0" t="s">
        <v>457</v>
      </c>
      <c r="D711" s="0" t="s">
        <v>319</v>
      </c>
      <c r="E711" s="0" t="s">
        <v>458</v>
      </c>
      <c r="F711" s="0" t="s">
        <v>141</v>
      </c>
      <c r="G711" s="0" t="s">
        <v>213</v>
      </c>
      <c r="H711" s="6" t="n">
        <f aca="false">'Export-dataset'!BT13</f>
        <v>5399</v>
      </c>
    </row>
    <row r="712" customFormat="false" ht="15" hidden="false" customHeight="false" outlineLevel="0" collapsed="false">
      <c r="A712" s="0" t="s">
        <v>61</v>
      </c>
      <c r="B712" s="0" t="n">
        <v>2016</v>
      </c>
      <c r="C712" s="0" t="s">
        <v>459</v>
      </c>
      <c r="D712" s="0" t="s">
        <v>316</v>
      </c>
      <c r="E712" s="0" t="s">
        <v>460</v>
      </c>
      <c r="F712" s="0" t="s">
        <v>141</v>
      </c>
      <c r="G712" s="0" t="s">
        <v>214</v>
      </c>
      <c r="H712" s="6" t="n">
        <f aca="false">'Export-dataset'!BU4</f>
        <v>27452</v>
      </c>
    </row>
    <row r="713" customFormat="false" ht="15" hidden="false" customHeight="false" outlineLevel="0" collapsed="false">
      <c r="A713" s="0" t="s">
        <v>61</v>
      </c>
      <c r="B713" s="0" t="n">
        <v>2017</v>
      </c>
      <c r="C713" s="0" t="s">
        <v>459</v>
      </c>
      <c r="D713" s="0" t="s">
        <v>316</v>
      </c>
      <c r="E713" s="0" t="s">
        <v>460</v>
      </c>
      <c r="F713" s="0" t="s">
        <v>141</v>
      </c>
      <c r="G713" s="0" t="s">
        <v>214</v>
      </c>
      <c r="H713" s="6" t="n">
        <f aca="false">'Export-dataset'!BU5</f>
        <v>25523</v>
      </c>
    </row>
    <row r="714" customFormat="false" ht="15" hidden="false" customHeight="false" outlineLevel="0" collapsed="false">
      <c r="A714" s="0" t="s">
        <v>61</v>
      </c>
      <c r="B714" s="0" t="n">
        <v>2018</v>
      </c>
      <c r="C714" s="0" t="s">
        <v>459</v>
      </c>
      <c r="D714" s="0" t="s">
        <v>316</v>
      </c>
      <c r="E714" s="0" t="s">
        <v>460</v>
      </c>
      <c r="F714" s="0" t="s">
        <v>141</v>
      </c>
      <c r="G714" s="0" t="s">
        <v>214</v>
      </c>
      <c r="H714" s="6" t="n">
        <f aca="false">'Export-dataset'!BU6</f>
        <v>25975</v>
      </c>
    </row>
    <row r="715" customFormat="false" ht="15" hidden="false" customHeight="false" outlineLevel="0" collapsed="false">
      <c r="A715" s="0" t="s">
        <v>61</v>
      </c>
      <c r="B715" s="0" t="n">
        <v>2019</v>
      </c>
      <c r="C715" s="0" t="s">
        <v>459</v>
      </c>
      <c r="D715" s="0" t="s">
        <v>316</v>
      </c>
      <c r="E715" s="0" t="s">
        <v>460</v>
      </c>
      <c r="F715" s="0" t="s">
        <v>141</v>
      </c>
      <c r="G715" s="0" t="s">
        <v>214</v>
      </c>
      <c r="H715" s="6" t="n">
        <f aca="false">'Export-dataset'!BU7</f>
        <v>30661</v>
      </c>
    </row>
    <row r="716" customFormat="false" ht="15" hidden="false" customHeight="false" outlineLevel="0" collapsed="false">
      <c r="A716" s="0" t="s">
        <v>61</v>
      </c>
      <c r="B716" s="0" t="n">
        <v>2020</v>
      </c>
      <c r="C716" s="0" t="s">
        <v>459</v>
      </c>
      <c r="D716" s="0" t="s">
        <v>316</v>
      </c>
      <c r="E716" s="0" t="s">
        <v>460</v>
      </c>
      <c r="F716" s="0" t="s">
        <v>141</v>
      </c>
      <c r="G716" s="0" t="s">
        <v>214</v>
      </c>
      <c r="H716" s="6" t="n">
        <f aca="false">'Export-dataset'!BU8</f>
        <v>34408</v>
      </c>
    </row>
    <row r="717" customFormat="false" ht="15" hidden="false" customHeight="false" outlineLevel="0" collapsed="false">
      <c r="A717" s="0" t="s">
        <v>61</v>
      </c>
      <c r="B717" s="0" t="n">
        <v>2021</v>
      </c>
      <c r="C717" s="0" t="s">
        <v>459</v>
      </c>
      <c r="D717" s="0" t="s">
        <v>316</v>
      </c>
      <c r="E717" s="0" t="s">
        <v>460</v>
      </c>
      <c r="F717" s="0" t="s">
        <v>141</v>
      </c>
      <c r="G717" s="0" t="s">
        <v>214</v>
      </c>
      <c r="H717" s="6" t="n">
        <f aca="false">'Export-dataset'!BU9</f>
        <v>36933</v>
      </c>
    </row>
    <row r="718" customFormat="false" ht="15" hidden="false" customHeight="false" outlineLevel="0" collapsed="false">
      <c r="A718" s="0" t="s">
        <v>61</v>
      </c>
      <c r="B718" s="0" t="n">
        <v>2022</v>
      </c>
      <c r="C718" s="0" t="s">
        <v>459</v>
      </c>
      <c r="D718" s="0" t="s">
        <v>316</v>
      </c>
      <c r="E718" s="0" t="s">
        <v>460</v>
      </c>
      <c r="F718" s="0" t="s">
        <v>141</v>
      </c>
      <c r="G718" s="0" t="s">
        <v>214</v>
      </c>
      <c r="H718" s="6" t="n">
        <f aca="false">'Export-dataset'!BU10</f>
        <v>39255</v>
      </c>
    </row>
    <row r="719" customFormat="false" ht="15" hidden="false" customHeight="false" outlineLevel="0" collapsed="false">
      <c r="A719" s="0" t="s">
        <v>61</v>
      </c>
      <c r="B719" s="0" t="n">
        <v>2023</v>
      </c>
      <c r="C719" s="0" t="s">
        <v>459</v>
      </c>
      <c r="D719" s="0" t="s">
        <v>316</v>
      </c>
      <c r="E719" s="0" t="s">
        <v>460</v>
      </c>
      <c r="F719" s="0" t="s">
        <v>141</v>
      </c>
      <c r="G719" s="0" t="s">
        <v>214</v>
      </c>
      <c r="H719" s="6" t="n">
        <f aca="false">'Export-dataset'!BU11</f>
        <v>41247</v>
      </c>
    </row>
    <row r="720" customFormat="false" ht="15" hidden="false" customHeight="false" outlineLevel="0" collapsed="false">
      <c r="A720" s="0" t="s">
        <v>61</v>
      </c>
      <c r="B720" s="0" t="n">
        <v>2024</v>
      </c>
      <c r="C720" s="0" t="s">
        <v>459</v>
      </c>
      <c r="D720" s="0" t="s">
        <v>316</v>
      </c>
      <c r="E720" s="0" t="s">
        <v>460</v>
      </c>
      <c r="F720" s="0" t="s">
        <v>141</v>
      </c>
      <c r="G720" s="0" t="s">
        <v>214</v>
      </c>
      <c r="H720" s="6" t="n">
        <f aca="false">'Export-dataset'!BU12</f>
        <v>45169</v>
      </c>
    </row>
    <row r="721" customFormat="false" ht="15" hidden="false" customHeight="false" outlineLevel="0" collapsed="false">
      <c r="A721" s="0" t="s">
        <v>61</v>
      </c>
      <c r="B721" s="0" t="n">
        <v>2025</v>
      </c>
      <c r="C721" s="0" t="s">
        <v>459</v>
      </c>
      <c r="D721" s="0" t="s">
        <v>316</v>
      </c>
      <c r="E721" s="0" t="s">
        <v>460</v>
      </c>
      <c r="F721" s="0" t="s">
        <v>141</v>
      </c>
      <c r="G721" s="0" t="s">
        <v>214</v>
      </c>
      <c r="H721" s="6" t="n">
        <f aca="false">'Export-dataset'!BU13</f>
        <v>66414</v>
      </c>
    </row>
    <row r="722" customFormat="false" ht="15" hidden="false" customHeight="false" outlineLevel="0" collapsed="false">
      <c r="A722" s="0" t="s">
        <v>61</v>
      </c>
      <c r="B722" s="0" t="n">
        <v>2016</v>
      </c>
      <c r="C722" s="0" t="s">
        <v>461</v>
      </c>
      <c r="D722" s="0" t="s">
        <v>319</v>
      </c>
      <c r="E722" s="0" t="s">
        <v>462</v>
      </c>
      <c r="F722" s="0" t="s">
        <v>141</v>
      </c>
      <c r="G722" s="0" t="s">
        <v>215</v>
      </c>
      <c r="H722" s="6" t="n">
        <f aca="false">'Export-dataset'!BV4</f>
        <v>1563</v>
      </c>
    </row>
    <row r="723" customFormat="false" ht="15" hidden="false" customHeight="false" outlineLevel="0" collapsed="false">
      <c r="A723" s="0" t="s">
        <v>61</v>
      </c>
      <c r="B723" s="0" t="n">
        <v>2017</v>
      </c>
      <c r="C723" s="0" t="s">
        <v>461</v>
      </c>
      <c r="D723" s="0" t="s">
        <v>319</v>
      </c>
      <c r="E723" s="0" t="s">
        <v>462</v>
      </c>
      <c r="F723" s="0" t="s">
        <v>141</v>
      </c>
      <c r="G723" s="0" t="s">
        <v>215</v>
      </c>
      <c r="H723" s="6" t="n">
        <f aca="false">'Export-dataset'!BV5</f>
        <v>1474</v>
      </c>
    </row>
    <row r="724" customFormat="false" ht="15" hidden="false" customHeight="false" outlineLevel="0" collapsed="false">
      <c r="A724" s="0" t="s">
        <v>61</v>
      </c>
      <c r="B724" s="0" t="n">
        <v>2018</v>
      </c>
      <c r="C724" s="0" t="s">
        <v>461</v>
      </c>
      <c r="D724" s="0" t="s">
        <v>319</v>
      </c>
      <c r="E724" s="0" t="s">
        <v>462</v>
      </c>
      <c r="F724" s="0" t="s">
        <v>141</v>
      </c>
      <c r="G724" s="0" t="s">
        <v>215</v>
      </c>
      <c r="H724" s="6" t="n">
        <f aca="false">'Export-dataset'!BV6</f>
        <v>1371</v>
      </c>
    </row>
    <row r="725" customFormat="false" ht="15" hidden="false" customHeight="false" outlineLevel="0" collapsed="false">
      <c r="A725" s="0" t="s">
        <v>61</v>
      </c>
      <c r="B725" s="0" t="n">
        <v>2019</v>
      </c>
      <c r="C725" s="0" t="s">
        <v>461</v>
      </c>
      <c r="D725" s="0" t="s">
        <v>319</v>
      </c>
      <c r="E725" s="0" t="s">
        <v>462</v>
      </c>
      <c r="F725" s="0" t="s">
        <v>141</v>
      </c>
      <c r="G725" s="0" t="s">
        <v>215</v>
      </c>
      <c r="H725" s="6" t="n">
        <f aca="false">'Export-dataset'!BV7</f>
        <v>1239</v>
      </c>
    </row>
    <row r="726" customFormat="false" ht="15" hidden="false" customHeight="false" outlineLevel="0" collapsed="false">
      <c r="A726" s="0" t="s">
        <v>61</v>
      </c>
      <c r="B726" s="0" t="n">
        <v>2020</v>
      </c>
      <c r="C726" s="0" t="s">
        <v>461</v>
      </c>
      <c r="D726" s="0" t="s">
        <v>319</v>
      </c>
      <c r="E726" s="0" t="s">
        <v>462</v>
      </c>
      <c r="F726" s="0" t="s">
        <v>141</v>
      </c>
      <c r="G726" s="0" t="s">
        <v>215</v>
      </c>
      <c r="H726" s="6" t="n">
        <f aca="false">'Export-dataset'!BV8</f>
        <v>1063</v>
      </c>
    </row>
    <row r="727" customFormat="false" ht="15" hidden="false" customHeight="false" outlineLevel="0" collapsed="false">
      <c r="A727" s="0" t="s">
        <v>61</v>
      </c>
      <c r="B727" s="0" t="n">
        <v>2021</v>
      </c>
      <c r="C727" s="0" t="s">
        <v>461</v>
      </c>
      <c r="D727" s="0" t="s">
        <v>319</v>
      </c>
      <c r="E727" s="0" t="s">
        <v>462</v>
      </c>
      <c r="F727" s="0" t="s">
        <v>141</v>
      </c>
      <c r="G727" s="0" t="s">
        <v>215</v>
      </c>
      <c r="H727" s="6" t="n">
        <f aca="false">'Export-dataset'!BV9</f>
        <v>1789</v>
      </c>
    </row>
    <row r="728" customFormat="false" ht="15" hidden="false" customHeight="false" outlineLevel="0" collapsed="false">
      <c r="A728" s="0" t="s">
        <v>61</v>
      </c>
      <c r="B728" s="0" t="n">
        <v>2022</v>
      </c>
      <c r="C728" s="0" t="s">
        <v>461</v>
      </c>
      <c r="D728" s="0" t="s">
        <v>319</v>
      </c>
      <c r="E728" s="0" t="s">
        <v>462</v>
      </c>
      <c r="F728" s="0" t="s">
        <v>141</v>
      </c>
      <c r="G728" s="0" t="s">
        <v>215</v>
      </c>
      <c r="H728" s="6" t="n">
        <f aca="false">'Export-dataset'!BV10</f>
        <v>764</v>
      </c>
    </row>
    <row r="729" customFormat="false" ht="15" hidden="false" customHeight="false" outlineLevel="0" collapsed="false">
      <c r="A729" s="0" t="s">
        <v>61</v>
      </c>
      <c r="B729" s="0" t="n">
        <v>2023</v>
      </c>
      <c r="C729" s="0" t="s">
        <v>461</v>
      </c>
      <c r="D729" s="0" t="s">
        <v>319</v>
      </c>
      <c r="E729" s="0" t="s">
        <v>462</v>
      </c>
      <c r="F729" s="0" t="s">
        <v>141</v>
      </c>
      <c r="G729" s="0" t="s">
        <v>215</v>
      </c>
      <c r="H729" s="6" t="n">
        <f aca="false">'Export-dataset'!BV11</f>
        <v>612</v>
      </c>
    </row>
    <row r="730" customFormat="false" ht="15" hidden="false" customHeight="false" outlineLevel="0" collapsed="false">
      <c r="A730" s="0" t="s">
        <v>61</v>
      </c>
      <c r="B730" s="0" t="n">
        <v>2024</v>
      </c>
      <c r="C730" s="0" t="s">
        <v>461</v>
      </c>
      <c r="D730" s="0" t="s">
        <v>319</v>
      </c>
      <c r="E730" s="0" t="s">
        <v>462</v>
      </c>
      <c r="F730" s="0" t="s">
        <v>141</v>
      </c>
      <c r="G730" s="0" t="s">
        <v>215</v>
      </c>
      <c r="H730" s="6" t="n">
        <f aca="false">'Export-dataset'!BV12</f>
        <v>565</v>
      </c>
    </row>
    <row r="731" customFormat="false" ht="15" hidden="false" customHeight="false" outlineLevel="0" collapsed="false">
      <c r="A731" s="0" t="s">
        <v>61</v>
      </c>
      <c r="B731" s="0" t="n">
        <v>2025</v>
      </c>
      <c r="C731" s="0" t="s">
        <v>461</v>
      </c>
      <c r="D731" s="0" t="s">
        <v>319</v>
      </c>
      <c r="E731" s="0" t="s">
        <v>462</v>
      </c>
      <c r="F731" s="0" t="s">
        <v>141</v>
      </c>
      <c r="G731" s="0" t="s">
        <v>215</v>
      </c>
      <c r="H731" s="6" t="n">
        <f aca="false">'Export-dataset'!BV13</f>
        <v>439</v>
      </c>
    </row>
    <row r="732" customFormat="false" ht="15" hidden="false" customHeight="false" outlineLevel="0" collapsed="false">
      <c r="A732" s="0" t="s">
        <v>61</v>
      </c>
      <c r="B732" s="0" t="n">
        <v>2016</v>
      </c>
      <c r="C732" s="0" t="s">
        <v>463</v>
      </c>
      <c r="D732" s="0" t="s">
        <v>319</v>
      </c>
      <c r="E732" s="0" t="s">
        <v>464</v>
      </c>
      <c r="F732" s="0" t="s">
        <v>141</v>
      </c>
      <c r="G732" s="0" t="s">
        <v>216</v>
      </c>
      <c r="H732" s="6" t="n">
        <f aca="false">'Export-dataset'!BW4</f>
        <v>989</v>
      </c>
    </row>
    <row r="733" customFormat="false" ht="15" hidden="false" customHeight="false" outlineLevel="0" collapsed="false">
      <c r="A733" s="0" t="s">
        <v>61</v>
      </c>
      <c r="B733" s="0" t="n">
        <v>2017</v>
      </c>
      <c r="C733" s="0" t="s">
        <v>463</v>
      </c>
      <c r="D733" s="0" t="s">
        <v>319</v>
      </c>
      <c r="E733" s="0" t="s">
        <v>464</v>
      </c>
      <c r="F733" s="0" t="s">
        <v>141</v>
      </c>
      <c r="G733" s="0" t="s">
        <v>216</v>
      </c>
      <c r="H733" s="6" t="n">
        <f aca="false">'Export-dataset'!BW5</f>
        <v>677</v>
      </c>
    </row>
    <row r="734" customFormat="false" ht="15" hidden="false" customHeight="false" outlineLevel="0" collapsed="false">
      <c r="A734" s="0" t="s">
        <v>61</v>
      </c>
      <c r="B734" s="0" t="n">
        <v>2018</v>
      </c>
      <c r="C734" s="0" t="s">
        <v>463</v>
      </c>
      <c r="D734" s="0" t="s">
        <v>319</v>
      </c>
      <c r="E734" s="0" t="s">
        <v>464</v>
      </c>
      <c r="F734" s="0" t="s">
        <v>141</v>
      </c>
      <c r="G734" s="0" t="s">
        <v>216</v>
      </c>
      <c r="H734" s="6" t="n">
        <f aca="false">'Export-dataset'!BW6</f>
        <v>814</v>
      </c>
    </row>
    <row r="735" customFormat="false" ht="15" hidden="false" customHeight="false" outlineLevel="0" collapsed="false">
      <c r="A735" s="0" t="s">
        <v>61</v>
      </c>
      <c r="B735" s="0" t="n">
        <v>2019</v>
      </c>
      <c r="C735" s="0" t="s">
        <v>463</v>
      </c>
      <c r="D735" s="0" t="s">
        <v>319</v>
      </c>
      <c r="E735" s="0" t="s">
        <v>464</v>
      </c>
      <c r="F735" s="0" t="s">
        <v>141</v>
      </c>
      <c r="G735" s="0" t="s">
        <v>216</v>
      </c>
      <c r="H735" s="6" t="n">
        <f aca="false">'Export-dataset'!BW7</f>
        <v>861</v>
      </c>
    </row>
    <row r="736" customFormat="false" ht="15" hidden="false" customHeight="false" outlineLevel="0" collapsed="false">
      <c r="A736" s="0" t="s">
        <v>61</v>
      </c>
      <c r="B736" s="0" t="n">
        <v>2020</v>
      </c>
      <c r="C736" s="0" t="s">
        <v>463</v>
      </c>
      <c r="D736" s="0" t="s">
        <v>319</v>
      </c>
      <c r="E736" s="0" t="s">
        <v>464</v>
      </c>
      <c r="F736" s="0" t="s">
        <v>141</v>
      </c>
      <c r="G736" s="0" t="s">
        <v>216</v>
      </c>
      <c r="H736" s="6" t="n">
        <f aca="false">'Export-dataset'!BW8</f>
        <v>1303</v>
      </c>
    </row>
    <row r="737" customFormat="false" ht="15" hidden="false" customHeight="false" outlineLevel="0" collapsed="false">
      <c r="A737" s="0" t="s">
        <v>61</v>
      </c>
      <c r="B737" s="0" t="n">
        <v>2021</v>
      </c>
      <c r="C737" s="0" t="s">
        <v>463</v>
      </c>
      <c r="D737" s="0" t="s">
        <v>319</v>
      </c>
      <c r="E737" s="0" t="s">
        <v>464</v>
      </c>
      <c r="F737" s="0" t="s">
        <v>141</v>
      </c>
      <c r="G737" s="0" t="s">
        <v>216</v>
      </c>
      <c r="H737" s="6" t="n">
        <f aca="false">'Export-dataset'!BW9</f>
        <v>2576</v>
      </c>
    </row>
    <row r="738" customFormat="false" ht="15" hidden="false" customHeight="false" outlineLevel="0" collapsed="false">
      <c r="A738" s="0" t="s">
        <v>61</v>
      </c>
      <c r="B738" s="0" t="n">
        <v>2022</v>
      </c>
      <c r="C738" s="0" t="s">
        <v>463</v>
      </c>
      <c r="D738" s="0" t="s">
        <v>319</v>
      </c>
      <c r="E738" s="0" t="s">
        <v>464</v>
      </c>
      <c r="F738" s="0" t="s">
        <v>141</v>
      </c>
      <c r="G738" s="0" t="s">
        <v>216</v>
      </c>
      <c r="H738" s="6" t="n">
        <f aca="false">'Export-dataset'!BW10</f>
        <v>3046</v>
      </c>
    </row>
    <row r="739" customFormat="false" ht="15" hidden="false" customHeight="false" outlineLevel="0" collapsed="false">
      <c r="A739" s="0" t="s">
        <v>61</v>
      </c>
      <c r="B739" s="0" t="n">
        <v>2023</v>
      </c>
      <c r="C739" s="0" t="s">
        <v>463</v>
      </c>
      <c r="D739" s="0" t="s">
        <v>319</v>
      </c>
      <c r="E739" s="0" t="s">
        <v>464</v>
      </c>
      <c r="F739" s="0" t="s">
        <v>141</v>
      </c>
      <c r="G739" s="0" t="s">
        <v>216</v>
      </c>
      <c r="H739" s="6" t="n">
        <f aca="false">'Export-dataset'!BW11</f>
        <v>2011</v>
      </c>
    </row>
    <row r="740" customFormat="false" ht="15" hidden="false" customHeight="false" outlineLevel="0" collapsed="false">
      <c r="A740" s="0" t="s">
        <v>61</v>
      </c>
      <c r="B740" s="0" t="n">
        <v>2024</v>
      </c>
      <c r="C740" s="0" t="s">
        <v>463</v>
      </c>
      <c r="D740" s="0" t="s">
        <v>319</v>
      </c>
      <c r="E740" s="0" t="s">
        <v>464</v>
      </c>
      <c r="F740" s="0" t="s">
        <v>141</v>
      </c>
      <c r="G740" s="0" t="s">
        <v>216</v>
      </c>
      <c r="H740" s="6" t="n">
        <f aca="false">'Export-dataset'!BW12</f>
        <v>1340</v>
      </c>
    </row>
    <row r="741" customFormat="false" ht="15" hidden="false" customHeight="false" outlineLevel="0" collapsed="false">
      <c r="A741" s="0" t="s">
        <v>61</v>
      </c>
      <c r="B741" s="0" t="n">
        <v>2025</v>
      </c>
      <c r="C741" s="0" t="s">
        <v>463</v>
      </c>
      <c r="D741" s="0" t="s">
        <v>319</v>
      </c>
      <c r="E741" s="0" t="s">
        <v>464</v>
      </c>
      <c r="F741" s="0" t="s">
        <v>141</v>
      </c>
      <c r="G741" s="0" t="s">
        <v>216</v>
      </c>
      <c r="H741" s="6" t="n">
        <f aca="false">'Export-dataset'!BW13</f>
        <v>1873</v>
      </c>
    </row>
    <row r="742" customFormat="false" ht="15" hidden="false" customHeight="false" outlineLevel="0" collapsed="false">
      <c r="A742" s="0" t="s">
        <v>61</v>
      </c>
      <c r="B742" s="0" t="n">
        <v>2016</v>
      </c>
      <c r="C742" s="0" t="s">
        <v>465</v>
      </c>
      <c r="D742" s="0" t="s">
        <v>319</v>
      </c>
      <c r="E742" s="0" t="s">
        <v>466</v>
      </c>
      <c r="F742" s="0" t="s">
        <v>141</v>
      </c>
      <c r="G742" s="0" t="s">
        <v>217</v>
      </c>
      <c r="H742" s="6" t="n">
        <f aca="false">'Export-dataset'!BX4</f>
        <v>1</v>
      </c>
    </row>
    <row r="743" customFormat="false" ht="15" hidden="false" customHeight="false" outlineLevel="0" collapsed="false">
      <c r="A743" s="0" t="s">
        <v>61</v>
      </c>
      <c r="B743" s="0" t="n">
        <v>2017</v>
      </c>
      <c r="C743" s="0" t="s">
        <v>465</v>
      </c>
      <c r="D743" s="0" t="s">
        <v>319</v>
      </c>
      <c r="E743" s="0" t="s">
        <v>466</v>
      </c>
      <c r="F743" s="0" t="s">
        <v>141</v>
      </c>
      <c r="G743" s="0" t="s">
        <v>217</v>
      </c>
      <c r="H743" s="6" t="n">
        <f aca="false">'Export-dataset'!BX5</f>
        <v>1</v>
      </c>
    </row>
    <row r="744" customFormat="false" ht="15" hidden="false" customHeight="false" outlineLevel="0" collapsed="false">
      <c r="A744" s="0" t="s">
        <v>61</v>
      </c>
      <c r="B744" s="0" t="n">
        <v>2018</v>
      </c>
      <c r="C744" s="0" t="s">
        <v>465</v>
      </c>
      <c r="D744" s="0" t="s">
        <v>319</v>
      </c>
      <c r="E744" s="0" t="s">
        <v>466</v>
      </c>
      <c r="F744" s="0" t="s">
        <v>141</v>
      </c>
      <c r="G744" s="0" t="s">
        <v>217</v>
      </c>
      <c r="H744" s="6" t="n">
        <f aca="false">'Export-dataset'!BX6</f>
        <v>0</v>
      </c>
    </row>
    <row r="745" customFormat="false" ht="15" hidden="false" customHeight="false" outlineLevel="0" collapsed="false">
      <c r="A745" s="0" t="s">
        <v>61</v>
      </c>
      <c r="B745" s="0" t="n">
        <v>2019</v>
      </c>
      <c r="C745" s="0" t="s">
        <v>465</v>
      </c>
      <c r="D745" s="0" t="s">
        <v>319</v>
      </c>
      <c r="E745" s="0" t="s">
        <v>466</v>
      </c>
      <c r="F745" s="0" t="s">
        <v>141</v>
      </c>
      <c r="G745" s="0" t="s">
        <v>217</v>
      </c>
      <c r="H745" s="6" t="n">
        <f aca="false">'Export-dataset'!BX7</f>
        <v>0</v>
      </c>
    </row>
    <row r="746" customFormat="false" ht="15" hidden="false" customHeight="false" outlineLevel="0" collapsed="false">
      <c r="A746" s="0" t="s">
        <v>61</v>
      </c>
      <c r="B746" s="0" t="n">
        <v>2020</v>
      </c>
      <c r="C746" s="0" t="s">
        <v>465</v>
      </c>
      <c r="D746" s="0" t="s">
        <v>319</v>
      </c>
      <c r="E746" s="0" t="s">
        <v>466</v>
      </c>
      <c r="F746" s="0" t="s">
        <v>141</v>
      </c>
      <c r="G746" s="0" t="s">
        <v>217</v>
      </c>
      <c r="H746" s="6" t="n">
        <f aca="false">'Export-dataset'!BX8</f>
        <v>2</v>
      </c>
    </row>
    <row r="747" customFormat="false" ht="15" hidden="false" customHeight="false" outlineLevel="0" collapsed="false">
      <c r="A747" s="0" t="s">
        <v>61</v>
      </c>
      <c r="B747" s="0" t="n">
        <v>2021</v>
      </c>
      <c r="C747" s="0" t="s">
        <v>465</v>
      </c>
      <c r="D747" s="0" t="s">
        <v>319</v>
      </c>
      <c r="E747" s="0" t="s">
        <v>466</v>
      </c>
      <c r="F747" s="0" t="s">
        <v>141</v>
      </c>
      <c r="G747" s="0" t="s">
        <v>217</v>
      </c>
      <c r="H747" s="6" t="n">
        <f aca="false">'Export-dataset'!BX9</f>
        <v>2</v>
      </c>
    </row>
    <row r="748" customFormat="false" ht="15" hidden="false" customHeight="false" outlineLevel="0" collapsed="false">
      <c r="A748" s="0" t="s">
        <v>61</v>
      </c>
      <c r="B748" s="0" t="n">
        <v>2022</v>
      </c>
      <c r="C748" s="0" t="s">
        <v>465</v>
      </c>
      <c r="D748" s="0" t="s">
        <v>319</v>
      </c>
      <c r="E748" s="0" t="s">
        <v>466</v>
      </c>
      <c r="F748" s="0" t="s">
        <v>141</v>
      </c>
      <c r="G748" s="0" t="s">
        <v>217</v>
      </c>
      <c r="H748" s="6" t="n">
        <f aca="false">'Export-dataset'!BX10</f>
        <v>9</v>
      </c>
    </row>
    <row r="749" customFormat="false" ht="15" hidden="false" customHeight="false" outlineLevel="0" collapsed="false">
      <c r="A749" s="0" t="s">
        <v>61</v>
      </c>
      <c r="B749" s="0" t="n">
        <v>2023</v>
      </c>
      <c r="C749" s="0" t="s">
        <v>465</v>
      </c>
      <c r="D749" s="0" t="s">
        <v>319</v>
      </c>
      <c r="E749" s="0" t="s">
        <v>466</v>
      </c>
      <c r="F749" s="0" t="s">
        <v>141</v>
      </c>
      <c r="G749" s="0" t="s">
        <v>217</v>
      </c>
      <c r="H749" s="6" t="n">
        <f aca="false">'Export-dataset'!BX11</f>
        <v>11</v>
      </c>
    </row>
    <row r="750" customFormat="false" ht="15" hidden="false" customHeight="false" outlineLevel="0" collapsed="false">
      <c r="A750" s="0" t="s">
        <v>61</v>
      </c>
      <c r="B750" s="0" t="n">
        <v>2024</v>
      </c>
      <c r="C750" s="0" t="s">
        <v>465</v>
      </c>
      <c r="D750" s="0" t="s">
        <v>319</v>
      </c>
      <c r="E750" s="0" t="s">
        <v>466</v>
      </c>
      <c r="F750" s="0" t="s">
        <v>141</v>
      </c>
      <c r="G750" s="0" t="s">
        <v>217</v>
      </c>
      <c r="H750" s="6" t="n">
        <f aca="false">'Export-dataset'!BX12</f>
        <v>23</v>
      </c>
    </row>
    <row r="751" customFormat="false" ht="15" hidden="false" customHeight="false" outlineLevel="0" collapsed="false">
      <c r="A751" s="0" t="s">
        <v>61</v>
      </c>
      <c r="B751" s="0" t="n">
        <v>2025</v>
      </c>
      <c r="C751" s="0" t="s">
        <v>465</v>
      </c>
      <c r="D751" s="0" t="s">
        <v>319</v>
      </c>
      <c r="E751" s="0" t="s">
        <v>466</v>
      </c>
      <c r="F751" s="0" t="s">
        <v>141</v>
      </c>
      <c r="G751" s="0" t="s">
        <v>217</v>
      </c>
      <c r="H751" s="6" t="n">
        <f aca="false">'Export-dataset'!BX13</f>
        <v>17</v>
      </c>
    </row>
    <row r="752" customFormat="false" ht="15" hidden="false" customHeight="false" outlineLevel="0" collapsed="false">
      <c r="A752" s="0" t="s">
        <v>61</v>
      </c>
      <c r="B752" s="0" t="n">
        <v>2016</v>
      </c>
      <c r="C752" s="0" t="s">
        <v>467</v>
      </c>
      <c r="D752" s="0" t="s">
        <v>319</v>
      </c>
      <c r="E752" s="0" t="s">
        <v>468</v>
      </c>
      <c r="F752" s="0" t="s">
        <v>141</v>
      </c>
      <c r="G752" s="0" t="s">
        <v>218</v>
      </c>
      <c r="H752" s="6" t="n">
        <f aca="false">'Export-dataset'!BY4</f>
        <v>18857</v>
      </c>
    </row>
    <row r="753" customFormat="false" ht="15" hidden="false" customHeight="false" outlineLevel="0" collapsed="false">
      <c r="A753" s="0" t="s">
        <v>61</v>
      </c>
      <c r="B753" s="0" t="n">
        <v>2017</v>
      </c>
      <c r="C753" s="0" t="s">
        <v>467</v>
      </c>
      <c r="D753" s="0" t="s">
        <v>319</v>
      </c>
      <c r="E753" s="0" t="s">
        <v>468</v>
      </c>
      <c r="F753" s="0" t="s">
        <v>141</v>
      </c>
      <c r="G753" s="0" t="s">
        <v>218</v>
      </c>
      <c r="H753" s="6" t="n">
        <f aca="false">'Export-dataset'!BY5</f>
        <v>17620</v>
      </c>
    </row>
    <row r="754" customFormat="false" ht="15" hidden="false" customHeight="false" outlineLevel="0" collapsed="false">
      <c r="A754" s="0" t="s">
        <v>61</v>
      </c>
      <c r="B754" s="0" t="n">
        <v>2018</v>
      </c>
      <c r="C754" s="0" t="s">
        <v>467</v>
      </c>
      <c r="D754" s="0" t="s">
        <v>319</v>
      </c>
      <c r="E754" s="0" t="s">
        <v>468</v>
      </c>
      <c r="F754" s="0" t="s">
        <v>141</v>
      </c>
      <c r="G754" s="0" t="s">
        <v>218</v>
      </c>
      <c r="H754" s="6" t="n">
        <f aca="false">'Export-dataset'!BY6</f>
        <v>19136</v>
      </c>
    </row>
    <row r="755" customFormat="false" ht="15" hidden="false" customHeight="false" outlineLevel="0" collapsed="false">
      <c r="A755" s="0" t="s">
        <v>61</v>
      </c>
      <c r="B755" s="0" t="n">
        <v>2019</v>
      </c>
      <c r="C755" s="0" t="s">
        <v>467</v>
      </c>
      <c r="D755" s="0" t="s">
        <v>319</v>
      </c>
      <c r="E755" s="0" t="s">
        <v>468</v>
      </c>
      <c r="F755" s="0" t="s">
        <v>141</v>
      </c>
      <c r="G755" s="0" t="s">
        <v>218</v>
      </c>
      <c r="H755" s="6" t="n">
        <f aca="false">'Export-dataset'!BY7</f>
        <v>23372</v>
      </c>
    </row>
    <row r="756" customFormat="false" ht="15" hidden="false" customHeight="false" outlineLevel="0" collapsed="false">
      <c r="A756" s="0" t="s">
        <v>61</v>
      </c>
      <c r="B756" s="0" t="n">
        <v>2020</v>
      </c>
      <c r="C756" s="0" t="s">
        <v>467</v>
      </c>
      <c r="D756" s="0" t="s">
        <v>319</v>
      </c>
      <c r="E756" s="0" t="s">
        <v>468</v>
      </c>
      <c r="F756" s="0" t="s">
        <v>141</v>
      </c>
      <c r="G756" s="0" t="s">
        <v>218</v>
      </c>
      <c r="H756" s="6" t="n">
        <f aca="false">'Export-dataset'!BY8</f>
        <v>25492</v>
      </c>
    </row>
    <row r="757" customFormat="false" ht="15" hidden="false" customHeight="false" outlineLevel="0" collapsed="false">
      <c r="A757" s="0" t="s">
        <v>61</v>
      </c>
      <c r="B757" s="0" t="n">
        <v>2021</v>
      </c>
      <c r="C757" s="0" t="s">
        <v>467</v>
      </c>
      <c r="D757" s="0" t="s">
        <v>319</v>
      </c>
      <c r="E757" s="0" t="s">
        <v>468</v>
      </c>
      <c r="F757" s="0" t="s">
        <v>141</v>
      </c>
      <c r="G757" s="0" t="s">
        <v>218</v>
      </c>
      <c r="H757" s="6" t="n">
        <f aca="false">'Export-dataset'!BY9</f>
        <v>23281</v>
      </c>
    </row>
    <row r="758" customFormat="false" ht="15" hidden="false" customHeight="false" outlineLevel="0" collapsed="false">
      <c r="A758" s="0" t="s">
        <v>61</v>
      </c>
      <c r="B758" s="0" t="n">
        <v>2022</v>
      </c>
      <c r="C758" s="0" t="s">
        <v>467</v>
      </c>
      <c r="D758" s="0" t="s">
        <v>319</v>
      </c>
      <c r="E758" s="0" t="s">
        <v>468</v>
      </c>
      <c r="F758" s="0" t="s">
        <v>141</v>
      </c>
      <c r="G758" s="0" t="s">
        <v>218</v>
      </c>
      <c r="H758" s="6" t="n">
        <f aca="false">'Export-dataset'!BY10</f>
        <v>23514</v>
      </c>
    </row>
    <row r="759" customFormat="false" ht="15" hidden="false" customHeight="false" outlineLevel="0" collapsed="false">
      <c r="A759" s="0" t="s">
        <v>61</v>
      </c>
      <c r="B759" s="0" t="n">
        <v>2023</v>
      </c>
      <c r="C759" s="0" t="s">
        <v>467</v>
      </c>
      <c r="D759" s="0" t="s">
        <v>319</v>
      </c>
      <c r="E759" s="0" t="s">
        <v>468</v>
      </c>
      <c r="F759" s="0" t="s">
        <v>141</v>
      </c>
      <c r="G759" s="0" t="s">
        <v>218</v>
      </c>
      <c r="H759" s="6" t="n">
        <f aca="false">'Export-dataset'!BY11</f>
        <v>28352</v>
      </c>
    </row>
    <row r="760" customFormat="false" ht="15" hidden="false" customHeight="false" outlineLevel="0" collapsed="false">
      <c r="A760" s="0" t="s">
        <v>61</v>
      </c>
      <c r="B760" s="0" t="n">
        <v>2024</v>
      </c>
      <c r="C760" s="0" t="s">
        <v>467</v>
      </c>
      <c r="D760" s="0" t="s">
        <v>319</v>
      </c>
      <c r="E760" s="0" t="s">
        <v>468</v>
      </c>
      <c r="F760" s="0" t="s">
        <v>141</v>
      </c>
      <c r="G760" s="0" t="s">
        <v>218</v>
      </c>
      <c r="H760" s="6" t="n">
        <f aca="false">'Export-dataset'!BY12</f>
        <v>35703</v>
      </c>
    </row>
    <row r="761" customFormat="false" ht="15" hidden="false" customHeight="false" outlineLevel="0" collapsed="false">
      <c r="A761" s="0" t="s">
        <v>61</v>
      </c>
      <c r="B761" s="0" t="n">
        <v>2025</v>
      </c>
      <c r="C761" s="0" t="s">
        <v>467</v>
      </c>
      <c r="D761" s="0" t="s">
        <v>319</v>
      </c>
      <c r="E761" s="0" t="s">
        <v>468</v>
      </c>
      <c r="F761" s="0" t="s">
        <v>141</v>
      </c>
      <c r="G761" s="0" t="s">
        <v>218</v>
      </c>
      <c r="H761" s="6" t="n">
        <f aca="false">'Export-dataset'!BY13</f>
        <v>59557</v>
      </c>
    </row>
    <row r="762" customFormat="false" ht="15" hidden="false" customHeight="false" outlineLevel="0" collapsed="false">
      <c r="A762" s="0" t="s">
        <v>61</v>
      </c>
      <c r="B762" s="0" t="n">
        <v>2016</v>
      </c>
      <c r="C762" s="0" t="s">
        <v>469</v>
      </c>
      <c r="D762" s="0" t="s">
        <v>319</v>
      </c>
      <c r="E762" s="0" t="s">
        <v>470</v>
      </c>
      <c r="F762" s="0" t="s">
        <v>141</v>
      </c>
      <c r="G762" s="0" t="s">
        <v>219</v>
      </c>
      <c r="H762" s="6" t="n">
        <f aca="false">'Export-dataset'!BZ4</f>
        <v>6043</v>
      </c>
    </row>
    <row r="763" customFormat="false" ht="15" hidden="false" customHeight="false" outlineLevel="0" collapsed="false">
      <c r="A763" s="0" t="s">
        <v>61</v>
      </c>
      <c r="B763" s="0" t="n">
        <v>2017</v>
      </c>
      <c r="C763" s="0" t="s">
        <v>469</v>
      </c>
      <c r="D763" s="0" t="s">
        <v>319</v>
      </c>
      <c r="E763" s="0" t="s">
        <v>470</v>
      </c>
      <c r="F763" s="0" t="s">
        <v>141</v>
      </c>
      <c r="G763" s="0" t="s">
        <v>219</v>
      </c>
      <c r="H763" s="6" t="n">
        <f aca="false">'Export-dataset'!BZ5</f>
        <v>5749</v>
      </c>
    </row>
    <row r="764" customFormat="false" ht="15" hidden="false" customHeight="false" outlineLevel="0" collapsed="false">
      <c r="A764" s="0" t="s">
        <v>61</v>
      </c>
      <c r="B764" s="0" t="n">
        <v>2018</v>
      </c>
      <c r="C764" s="0" t="s">
        <v>469</v>
      </c>
      <c r="D764" s="0" t="s">
        <v>319</v>
      </c>
      <c r="E764" s="0" t="s">
        <v>470</v>
      </c>
      <c r="F764" s="0" t="s">
        <v>141</v>
      </c>
      <c r="G764" s="0" t="s">
        <v>219</v>
      </c>
      <c r="H764" s="6" t="n">
        <f aca="false">'Export-dataset'!BZ6</f>
        <v>4651</v>
      </c>
    </row>
    <row r="765" customFormat="false" ht="15" hidden="false" customHeight="false" outlineLevel="0" collapsed="false">
      <c r="A765" s="0" t="s">
        <v>61</v>
      </c>
      <c r="B765" s="0" t="n">
        <v>2019</v>
      </c>
      <c r="C765" s="0" t="s">
        <v>469</v>
      </c>
      <c r="D765" s="0" t="s">
        <v>319</v>
      </c>
      <c r="E765" s="0" t="s">
        <v>470</v>
      </c>
      <c r="F765" s="0" t="s">
        <v>141</v>
      </c>
      <c r="G765" s="0" t="s">
        <v>219</v>
      </c>
      <c r="H765" s="6" t="n">
        <f aca="false">'Export-dataset'!BZ7</f>
        <v>5188</v>
      </c>
    </row>
    <row r="766" customFormat="false" ht="15" hidden="false" customHeight="false" outlineLevel="0" collapsed="false">
      <c r="A766" s="0" t="s">
        <v>61</v>
      </c>
      <c r="B766" s="0" t="n">
        <v>2020</v>
      </c>
      <c r="C766" s="0" t="s">
        <v>469</v>
      </c>
      <c r="D766" s="0" t="s">
        <v>319</v>
      </c>
      <c r="E766" s="0" t="s">
        <v>470</v>
      </c>
      <c r="F766" s="0" t="s">
        <v>141</v>
      </c>
      <c r="G766" s="0" t="s">
        <v>219</v>
      </c>
      <c r="H766" s="6" t="n">
        <f aca="false">'Export-dataset'!BZ8</f>
        <v>6551</v>
      </c>
    </row>
    <row r="767" customFormat="false" ht="15" hidden="false" customHeight="false" outlineLevel="0" collapsed="false">
      <c r="A767" s="0" t="s">
        <v>61</v>
      </c>
      <c r="B767" s="0" t="n">
        <v>2021</v>
      </c>
      <c r="C767" s="0" t="s">
        <v>469</v>
      </c>
      <c r="D767" s="0" t="s">
        <v>319</v>
      </c>
      <c r="E767" s="0" t="s">
        <v>470</v>
      </c>
      <c r="F767" s="0" t="s">
        <v>141</v>
      </c>
      <c r="G767" s="0" t="s">
        <v>219</v>
      </c>
      <c r="H767" s="6" t="n">
        <f aca="false">'Export-dataset'!BZ9</f>
        <v>9283</v>
      </c>
    </row>
    <row r="768" customFormat="false" ht="15" hidden="false" customHeight="false" outlineLevel="0" collapsed="false">
      <c r="A768" s="0" t="s">
        <v>61</v>
      </c>
      <c r="B768" s="0" t="n">
        <v>2022</v>
      </c>
      <c r="C768" s="0" t="s">
        <v>469</v>
      </c>
      <c r="D768" s="0" t="s">
        <v>319</v>
      </c>
      <c r="E768" s="0" t="s">
        <v>470</v>
      </c>
      <c r="F768" s="0" t="s">
        <v>141</v>
      </c>
      <c r="G768" s="0" t="s">
        <v>219</v>
      </c>
      <c r="H768" s="6" t="n">
        <f aca="false">'Export-dataset'!BZ10</f>
        <v>11921</v>
      </c>
    </row>
    <row r="769" customFormat="false" ht="15" hidden="false" customHeight="false" outlineLevel="0" collapsed="false">
      <c r="A769" s="0" t="s">
        <v>61</v>
      </c>
      <c r="B769" s="0" t="n">
        <v>2023</v>
      </c>
      <c r="C769" s="0" t="s">
        <v>469</v>
      </c>
      <c r="D769" s="0" t="s">
        <v>319</v>
      </c>
      <c r="E769" s="0" t="s">
        <v>470</v>
      </c>
      <c r="F769" s="0" t="s">
        <v>141</v>
      </c>
      <c r="G769" s="0" t="s">
        <v>219</v>
      </c>
      <c r="H769" s="6" t="n">
        <f aca="false">'Export-dataset'!BZ11</f>
        <v>10257</v>
      </c>
    </row>
    <row r="770" customFormat="false" ht="15" hidden="false" customHeight="false" outlineLevel="0" collapsed="false">
      <c r="A770" s="0" t="s">
        <v>61</v>
      </c>
      <c r="B770" s="0" t="n">
        <v>2024</v>
      </c>
      <c r="C770" s="0" t="s">
        <v>469</v>
      </c>
      <c r="D770" s="0" t="s">
        <v>319</v>
      </c>
      <c r="E770" s="0" t="s">
        <v>470</v>
      </c>
      <c r="F770" s="0" t="s">
        <v>141</v>
      </c>
      <c r="G770" s="0" t="s">
        <v>219</v>
      </c>
      <c r="H770" s="6" t="n">
        <f aca="false">'Export-dataset'!BZ12</f>
        <v>7536</v>
      </c>
    </row>
    <row r="771" customFormat="false" ht="15" hidden="false" customHeight="false" outlineLevel="0" collapsed="false">
      <c r="A771" s="0" t="s">
        <v>61</v>
      </c>
      <c r="B771" s="0" t="n">
        <v>2025</v>
      </c>
      <c r="C771" s="0" t="s">
        <v>469</v>
      </c>
      <c r="D771" s="0" t="s">
        <v>319</v>
      </c>
      <c r="E771" s="0" t="s">
        <v>470</v>
      </c>
      <c r="F771" s="0" t="s">
        <v>141</v>
      </c>
      <c r="G771" s="0" t="s">
        <v>219</v>
      </c>
      <c r="H771" s="6" t="n">
        <f aca="false">'Export-dataset'!BZ13</f>
        <v>4530</v>
      </c>
    </row>
    <row r="772" customFormat="false" ht="15" hidden="false" customHeight="false" outlineLevel="0" collapsed="false">
      <c r="A772" s="0" t="s">
        <v>61</v>
      </c>
      <c r="B772" s="0" t="n">
        <v>2016</v>
      </c>
      <c r="C772" s="0" t="s">
        <v>471</v>
      </c>
      <c r="D772" s="0" t="s">
        <v>472</v>
      </c>
      <c r="E772" s="0" t="s">
        <v>473</v>
      </c>
      <c r="F772" s="0" t="s">
        <v>141</v>
      </c>
      <c r="G772" s="0" t="s">
        <v>220</v>
      </c>
      <c r="H772" s="6" t="n">
        <f aca="false">'Export-dataset'!CA4</f>
        <v>258469</v>
      </c>
    </row>
    <row r="773" customFormat="false" ht="15" hidden="false" customHeight="false" outlineLevel="0" collapsed="false">
      <c r="A773" s="0" t="s">
        <v>61</v>
      </c>
      <c r="B773" s="0" t="n">
        <v>2017</v>
      </c>
      <c r="C773" s="0" t="s">
        <v>471</v>
      </c>
      <c r="D773" s="0" t="s">
        <v>472</v>
      </c>
      <c r="E773" s="0" t="s">
        <v>473</v>
      </c>
      <c r="F773" s="0" t="s">
        <v>141</v>
      </c>
      <c r="G773" s="0" t="s">
        <v>220</v>
      </c>
      <c r="H773" s="6" t="n">
        <f aca="false">'Export-dataset'!CA5</f>
        <v>301334</v>
      </c>
    </row>
    <row r="774" customFormat="false" ht="15" hidden="false" customHeight="false" outlineLevel="0" collapsed="false">
      <c r="A774" s="0" t="s">
        <v>61</v>
      </c>
      <c r="B774" s="0" t="n">
        <v>2018</v>
      </c>
      <c r="C774" s="0" t="s">
        <v>471</v>
      </c>
      <c r="D774" s="0" t="s">
        <v>472</v>
      </c>
      <c r="E774" s="0" t="s">
        <v>473</v>
      </c>
      <c r="F774" s="0" t="s">
        <v>141</v>
      </c>
      <c r="G774" s="0" t="s">
        <v>220</v>
      </c>
      <c r="H774" s="6" t="n">
        <f aca="false">'Export-dataset'!CA6</f>
        <v>344615</v>
      </c>
    </row>
    <row r="775" customFormat="false" ht="15" hidden="false" customHeight="false" outlineLevel="0" collapsed="false">
      <c r="A775" s="0" t="s">
        <v>61</v>
      </c>
      <c r="B775" s="0" t="n">
        <v>2019</v>
      </c>
      <c r="C775" s="0" t="s">
        <v>471</v>
      </c>
      <c r="D775" s="0" t="s">
        <v>472</v>
      </c>
      <c r="E775" s="0" t="s">
        <v>473</v>
      </c>
      <c r="F775" s="0" t="s">
        <v>141</v>
      </c>
      <c r="G775" s="0" t="s">
        <v>220</v>
      </c>
      <c r="H775" s="6" t="n">
        <f aca="false">'Export-dataset'!CA7</f>
        <v>389981</v>
      </c>
    </row>
    <row r="776" customFormat="false" ht="15" hidden="false" customHeight="false" outlineLevel="0" collapsed="false">
      <c r="A776" s="0" t="s">
        <v>61</v>
      </c>
      <c r="B776" s="0" t="n">
        <v>2020</v>
      </c>
      <c r="C776" s="0" t="s">
        <v>471</v>
      </c>
      <c r="D776" s="0" t="s">
        <v>472</v>
      </c>
      <c r="E776" s="0" t="s">
        <v>473</v>
      </c>
      <c r="F776" s="0" t="s">
        <v>141</v>
      </c>
      <c r="G776" s="0" t="s">
        <v>220</v>
      </c>
      <c r="H776" s="6" t="n">
        <f aca="false">'Export-dataset'!CA8</f>
        <v>362728</v>
      </c>
    </row>
    <row r="777" customFormat="false" ht="15" hidden="false" customHeight="false" outlineLevel="0" collapsed="false">
      <c r="A777" s="0" t="s">
        <v>61</v>
      </c>
      <c r="B777" s="0" t="n">
        <v>2021</v>
      </c>
      <c r="C777" s="0" t="s">
        <v>471</v>
      </c>
      <c r="D777" s="0" t="s">
        <v>472</v>
      </c>
      <c r="E777" s="0" t="s">
        <v>473</v>
      </c>
      <c r="F777" s="0" t="s">
        <v>141</v>
      </c>
      <c r="G777" s="0" t="s">
        <v>220</v>
      </c>
      <c r="H777" s="6" t="n">
        <f aca="false">'Export-dataset'!CA9</f>
        <v>458168</v>
      </c>
    </row>
    <row r="778" customFormat="false" ht="15" hidden="false" customHeight="false" outlineLevel="0" collapsed="false">
      <c r="A778" s="0" t="s">
        <v>61</v>
      </c>
      <c r="B778" s="0" t="n">
        <v>2022</v>
      </c>
      <c r="C778" s="0" t="s">
        <v>471</v>
      </c>
      <c r="D778" s="0" t="s">
        <v>472</v>
      </c>
      <c r="E778" s="0" t="s">
        <v>473</v>
      </c>
      <c r="F778" s="0" t="s">
        <v>141</v>
      </c>
      <c r="G778" s="0" t="s">
        <v>220</v>
      </c>
      <c r="H778" s="6" t="n">
        <f aca="false">'Export-dataset'!CA10</f>
        <v>593865</v>
      </c>
    </row>
    <row r="779" customFormat="false" ht="15" hidden="false" customHeight="false" outlineLevel="0" collapsed="false">
      <c r="A779" s="0" t="s">
        <v>61</v>
      </c>
      <c r="B779" s="0" t="n">
        <v>2023</v>
      </c>
      <c r="C779" s="0" t="s">
        <v>471</v>
      </c>
      <c r="D779" s="0" t="s">
        <v>472</v>
      </c>
      <c r="E779" s="0" t="s">
        <v>473</v>
      </c>
      <c r="F779" s="0" t="s">
        <v>141</v>
      </c>
      <c r="G779" s="0" t="s">
        <v>220</v>
      </c>
      <c r="H779" s="6" t="n">
        <f aca="false">'Export-dataset'!CA11</f>
        <v>558623</v>
      </c>
    </row>
    <row r="780" customFormat="false" ht="15" hidden="false" customHeight="false" outlineLevel="0" collapsed="false">
      <c r="A780" s="0" t="s">
        <v>61</v>
      </c>
      <c r="B780" s="0" t="n">
        <v>2024</v>
      </c>
      <c r="C780" s="0" t="s">
        <v>471</v>
      </c>
      <c r="D780" s="0" t="s">
        <v>472</v>
      </c>
      <c r="E780" s="0" t="s">
        <v>473</v>
      </c>
      <c r="F780" s="0" t="s">
        <v>141</v>
      </c>
      <c r="G780" s="0" t="s">
        <v>220</v>
      </c>
      <c r="H780" s="6" t="n">
        <f aca="false">'Export-dataset'!CA12</f>
        <v>516983</v>
      </c>
    </row>
    <row r="781" customFormat="false" ht="15" hidden="false" customHeight="false" outlineLevel="0" collapsed="false">
      <c r="A781" s="0" t="s">
        <v>61</v>
      </c>
      <c r="B781" s="0" t="n">
        <v>2025</v>
      </c>
      <c r="C781" s="0" t="s">
        <v>471</v>
      </c>
      <c r="D781" s="0" t="s">
        <v>472</v>
      </c>
      <c r="E781" s="0" t="s">
        <v>473</v>
      </c>
      <c r="F781" s="0" t="s">
        <v>141</v>
      </c>
      <c r="G781" s="0" t="s">
        <v>220</v>
      </c>
      <c r="H781" s="6" t="n">
        <f aca="false">'Export-dataset'!CA13</f>
        <v>523098</v>
      </c>
    </row>
  </sheetData>
  <autoFilter ref="A1:H7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8"/>
    <col collapsed="false" customWidth="true" hidden="false" outlineLevel="0" max="5" min="5" style="0" width="58"/>
    <col collapsed="false" customWidth="true" hidden="false" outlineLevel="0" max="7" min="6" style="0" width="12"/>
    <col collapsed="false" customWidth="true" hidden="false" outlineLevel="0" max="8" min="8" style="0" width="18"/>
  </cols>
  <sheetData>
    <row r="1" customFormat="false" ht="15" hidden="false" customHeight="false" outlineLevel="0" collapsed="false">
      <c r="A1" s="3" t="s">
        <v>310</v>
      </c>
      <c r="B1" s="3" t="s">
        <v>59</v>
      </c>
      <c r="C1" s="3" t="s">
        <v>311</v>
      </c>
      <c r="D1" s="3" t="s">
        <v>312</v>
      </c>
      <c r="E1" s="3" t="s">
        <v>313</v>
      </c>
      <c r="F1" s="3" t="s">
        <v>140</v>
      </c>
      <c r="G1" s="3" t="s">
        <v>142</v>
      </c>
      <c r="H1" s="3" t="s">
        <v>474</v>
      </c>
    </row>
    <row r="2" customFormat="false" ht="15" hidden="false" customHeight="false" outlineLevel="0" collapsed="false">
      <c r="A2" s="0" t="s">
        <v>231</v>
      </c>
      <c r="B2" s="0" t="n">
        <v>2016</v>
      </c>
      <c r="C2" s="0" t="s">
        <v>315</v>
      </c>
      <c r="D2" s="0" t="s">
        <v>316</v>
      </c>
      <c r="E2" s="0" t="s">
        <v>317</v>
      </c>
      <c r="F2" s="0" t="s">
        <v>141</v>
      </c>
      <c r="G2" s="0" t="s">
        <v>232</v>
      </c>
      <c r="H2" s="6" t="n">
        <f aca="false">'Import-dataset'!B4</f>
        <v>13977</v>
      </c>
    </row>
    <row r="3" customFormat="false" ht="15" hidden="false" customHeight="false" outlineLevel="0" collapsed="false">
      <c r="A3" s="0" t="s">
        <v>231</v>
      </c>
      <c r="B3" s="0" t="n">
        <v>2017</v>
      </c>
      <c r="C3" s="0" t="s">
        <v>315</v>
      </c>
      <c r="D3" s="0" t="s">
        <v>316</v>
      </c>
      <c r="E3" s="0" t="s">
        <v>317</v>
      </c>
      <c r="F3" s="0" t="s">
        <v>141</v>
      </c>
      <c r="G3" s="0" t="s">
        <v>232</v>
      </c>
      <c r="H3" s="6" t="n">
        <f aca="false">'Import-dataset'!B5</f>
        <v>14304</v>
      </c>
    </row>
    <row r="4" customFormat="false" ht="15" hidden="false" customHeight="false" outlineLevel="0" collapsed="false">
      <c r="A4" s="0" t="s">
        <v>231</v>
      </c>
      <c r="B4" s="0" t="n">
        <v>2018</v>
      </c>
      <c r="C4" s="0" t="s">
        <v>315</v>
      </c>
      <c r="D4" s="0" t="s">
        <v>316</v>
      </c>
      <c r="E4" s="0" t="s">
        <v>317</v>
      </c>
      <c r="F4" s="0" t="s">
        <v>141</v>
      </c>
      <c r="G4" s="0" t="s">
        <v>232</v>
      </c>
      <c r="H4" s="6" t="n">
        <f aca="false">'Import-dataset'!B6</f>
        <v>15132</v>
      </c>
    </row>
    <row r="5" customFormat="false" ht="15" hidden="false" customHeight="false" outlineLevel="0" collapsed="false">
      <c r="A5" s="0" t="s">
        <v>231</v>
      </c>
      <c r="B5" s="0" t="n">
        <v>2019</v>
      </c>
      <c r="C5" s="0" t="s">
        <v>315</v>
      </c>
      <c r="D5" s="0" t="s">
        <v>316</v>
      </c>
      <c r="E5" s="0" t="s">
        <v>317</v>
      </c>
      <c r="F5" s="0" t="s">
        <v>141</v>
      </c>
      <c r="G5" s="0" t="s">
        <v>232</v>
      </c>
      <c r="H5" s="6" t="n">
        <f aca="false">'Import-dataset'!B7</f>
        <v>16938</v>
      </c>
    </row>
    <row r="6" customFormat="false" ht="15" hidden="false" customHeight="false" outlineLevel="0" collapsed="false">
      <c r="A6" s="0" t="s">
        <v>231</v>
      </c>
      <c r="B6" s="0" t="n">
        <v>2020</v>
      </c>
      <c r="C6" s="0" t="s">
        <v>315</v>
      </c>
      <c r="D6" s="0" t="s">
        <v>316</v>
      </c>
      <c r="E6" s="0" t="s">
        <v>317</v>
      </c>
      <c r="F6" s="0" t="s">
        <v>141</v>
      </c>
      <c r="G6" s="0" t="s">
        <v>232</v>
      </c>
      <c r="H6" s="6" t="n">
        <f aca="false">'Import-dataset'!B8</f>
        <v>17607</v>
      </c>
    </row>
    <row r="7" customFormat="false" ht="15" hidden="false" customHeight="false" outlineLevel="0" collapsed="false">
      <c r="A7" s="0" t="s">
        <v>231</v>
      </c>
      <c r="B7" s="0" t="n">
        <v>2021</v>
      </c>
      <c r="C7" s="0" t="s">
        <v>315</v>
      </c>
      <c r="D7" s="0" t="s">
        <v>316</v>
      </c>
      <c r="E7" s="0" t="s">
        <v>317</v>
      </c>
      <c r="F7" s="0" t="s">
        <v>141</v>
      </c>
      <c r="G7" s="0" t="s">
        <v>232</v>
      </c>
      <c r="H7" s="6" t="n">
        <f aca="false">'Import-dataset'!B9</f>
        <v>16410</v>
      </c>
    </row>
    <row r="8" customFormat="false" ht="15" hidden="false" customHeight="false" outlineLevel="0" collapsed="false">
      <c r="A8" s="0" t="s">
        <v>231</v>
      </c>
      <c r="B8" s="0" t="n">
        <v>2022</v>
      </c>
      <c r="C8" s="0" t="s">
        <v>315</v>
      </c>
      <c r="D8" s="0" t="s">
        <v>316</v>
      </c>
      <c r="E8" s="0" t="s">
        <v>317</v>
      </c>
      <c r="F8" s="0" t="s">
        <v>141</v>
      </c>
      <c r="G8" s="0" t="s">
        <v>232</v>
      </c>
      <c r="H8" s="6" t="n">
        <f aca="false">'Import-dataset'!B10</f>
        <v>19518</v>
      </c>
    </row>
    <row r="9" customFormat="false" ht="15" hidden="false" customHeight="false" outlineLevel="0" collapsed="false">
      <c r="A9" s="0" t="s">
        <v>231</v>
      </c>
      <c r="B9" s="0" t="n">
        <v>2023</v>
      </c>
      <c r="C9" s="0" t="s">
        <v>315</v>
      </c>
      <c r="D9" s="0" t="s">
        <v>316</v>
      </c>
      <c r="E9" s="0" t="s">
        <v>317</v>
      </c>
      <c r="F9" s="0" t="s">
        <v>141</v>
      </c>
      <c r="G9" s="0" t="s">
        <v>232</v>
      </c>
      <c r="H9" s="6" t="n">
        <f aca="false">'Import-dataset'!B11</f>
        <v>19684</v>
      </c>
    </row>
    <row r="10" customFormat="false" ht="15" hidden="false" customHeight="false" outlineLevel="0" collapsed="false">
      <c r="A10" s="0" t="s">
        <v>231</v>
      </c>
      <c r="B10" s="0" t="n">
        <v>2024</v>
      </c>
      <c r="C10" s="0" t="s">
        <v>315</v>
      </c>
      <c r="D10" s="0" t="s">
        <v>316</v>
      </c>
      <c r="E10" s="0" t="s">
        <v>317</v>
      </c>
      <c r="F10" s="0" t="s">
        <v>141</v>
      </c>
      <c r="G10" s="0" t="s">
        <v>232</v>
      </c>
      <c r="H10" s="6" t="n">
        <f aca="false">'Import-dataset'!B12</f>
        <v>22293</v>
      </c>
    </row>
    <row r="11" customFormat="false" ht="15" hidden="false" customHeight="false" outlineLevel="0" collapsed="false">
      <c r="A11" s="0" t="s">
        <v>231</v>
      </c>
      <c r="B11" s="0" t="n">
        <v>2025</v>
      </c>
      <c r="C11" s="0" t="s">
        <v>315</v>
      </c>
      <c r="D11" s="0" t="s">
        <v>316</v>
      </c>
      <c r="E11" s="0" t="s">
        <v>317</v>
      </c>
      <c r="F11" s="0" t="s">
        <v>141</v>
      </c>
      <c r="G11" s="0" t="s">
        <v>232</v>
      </c>
      <c r="H11" s="6" t="n">
        <f aca="false">'Import-dataset'!B13</f>
        <v>24515</v>
      </c>
    </row>
    <row r="12" customFormat="false" ht="15" hidden="false" customHeight="false" outlineLevel="0" collapsed="false">
      <c r="A12" s="0" t="s">
        <v>231</v>
      </c>
      <c r="B12" s="0" t="n">
        <v>2016</v>
      </c>
      <c r="C12" s="0" t="s">
        <v>318</v>
      </c>
      <c r="D12" s="0" t="s">
        <v>319</v>
      </c>
      <c r="E12" s="0" t="s">
        <v>320</v>
      </c>
      <c r="F12" s="0" t="s">
        <v>141</v>
      </c>
      <c r="G12" s="0" t="s">
        <v>233</v>
      </c>
      <c r="H12" s="6" t="n">
        <f aca="false">'Import-dataset'!C4</f>
        <v>121</v>
      </c>
    </row>
    <row r="13" customFormat="false" ht="15" hidden="false" customHeight="false" outlineLevel="0" collapsed="false">
      <c r="A13" s="0" t="s">
        <v>231</v>
      </c>
      <c r="B13" s="0" t="n">
        <v>2017</v>
      </c>
      <c r="C13" s="0" t="s">
        <v>318</v>
      </c>
      <c r="D13" s="0" t="s">
        <v>319</v>
      </c>
      <c r="E13" s="0" t="s">
        <v>320</v>
      </c>
      <c r="F13" s="0" t="s">
        <v>141</v>
      </c>
      <c r="G13" s="0" t="s">
        <v>233</v>
      </c>
      <c r="H13" s="6" t="n">
        <f aca="false">'Import-dataset'!C5</f>
        <v>155</v>
      </c>
    </row>
    <row r="14" customFormat="false" ht="15" hidden="false" customHeight="false" outlineLevel="0" collapsed="false">
      <c r="A14" s="0" t="s">
        <v>231</v>
      </c>
      <c r="B14" s="0" t="n">
        <v>2018</v>
      </c>
      <c r="C14" s="0" t="s">
        <v>318</v>
      </c>
      <c r="D14" s="0" t="s">
        <v>319</v>
      </c>
      <c r="E14" s="0" t="s">
        <v>320</v>
      </c>
      <c r="F14" s="0" t="s">
        <v>141</v>
      </c>
      <c r="G14" s="0" t="s">
        <v>233</v>
      </c>
      <c r="H14" s="6" t="n">
        <f aca="false">'Import-dataset'!C6</f>
        <v>168</v>
      </c>
    </row>
    <row r="15" customFormat="false" ht="15" hidden="false" customHeight="false" outlineLevel="0" collapsed="false">
      <c r="A15" s="0" t="s">
        <v>231</v>
      </c>
      <c r="B15" s="0" t="n">
        <v>2019</v>
      </c>
      <c r="C15" s="0" t="s">
        <v>318</v>
      </c>
      <c r="D15" s="0" t="s">
        <v>319</v>
      </c>
      <c r="E15" s="0" t="s">
        <v>320</v>
      </c>
      <c r="F15" s="0" t="s">
        <v>141</v>
      </c>
      <c r="G15" s="0" t="s">
        <v>233</v>
      </c>
      <c r="H15" s="6" t="n">
        <f aca="false">'Import-dataset'!C7</f>
        <v>145</v>
      </c>
    </row>
    <row r="16" customFormat="false" ht="15" hidden="false" customHeight="false" outlineLevel="0" collapsed="false">
      <c r="A16" s="0" t="s">
        <v>231</v>
      </c>
      <c r="B16" s="0" t="n">
        <v>2020</v>
      </c>
      <c r="C16" s="0" t="s">
        <v>318</v>
      </c>
      <c r="D16" s="0" t="s">
        <v>319</v>
      </c>
      <c r="E16" s="0" t="s">
        <v>320</v>
      </c>
      <c r="F16" s="0" t="s">
        <v>141</v>
      </c>
      <c r="G16" s="0" t="s">
        <v>233</v>
      </c>
      <c r="H16" s="6" t="n">
        <f aca="false">'Import-dataset'!C8</f>
        <v>157</v>
      </c>
    </row>
    <row r="17" customFormat="false" ht="15" hidden="false" customHeight="false" outlineLevel="0" collapsed="false">
      <c r="A17" s="0" t="s">
        <v>231</v>
      </c>
      <c r="B17" s="0" t="n">
        <v>2021</v>
      </c>
      <c r="C17" s="0" t="s">
        <v>318</v>
      </c>
      <c r="D17" s="0" t="s">
        <v>319</v>
      </c>
      <c r="E17" s="0" t="s">
        <v>320</v>
      </c>
      <c r="F17" s="0" t="s">
        <v>141</v>
      </c>
      <c r="G17" s="0" t="s">
        <v>233</v>
      </c>
      <c r="H17" s="6" t="n">
        <f aca="false">'Import-dataset'!C9</f>
        <v>156</v>
      </c>
    </row>
    <row r="18" customFormat="false" ht="15" hidden="false" customHeight="false" outlineLevel="0" collapsed="false">
      <c r="A18" s="0" t="s">
        <v>231</v>
      </c>
      <c r="B18" s="0" t="n">
        <v>2022</v>
      </c>
      <c r="C18" s="0" t="s">
        <v>318</v>
      </c>
      <c r="D18" s="0" t="s">
        <v>319</v>
      </c>
      <c r="E18" s="0" t="s">
        <v>320</v>
      </c>
      <c r="F18" s="0" t="s">
        <v>141</v>
      </c>
      <c r="G18" s="0" t="s">
        <v>233</v>
      </c>
      <c r="H18" s="6" t="n">
        <f aca="false">'Import-dataset'!C10</f>
        <v>167</v>
      </c>
    </row>
    <row r="19" customFormat="false" ht="15" hidden="false" customHeight="false" outlineLevel="0" collapsed="false">
      <c r="A19" s="0" t="s">
        <v>231</v>
      </c>
      <c r="B19" s="0" t="n">
        <v>2023</v>
      </c>
      <c r="C19" s="0" t="s">
        <v>318</v>
      </c>
      <c r="D19" s="0" t="s">
        <v>319</v>
      </c>
      <c r="E19" s="0" t="s">
        <v>320</v>
      </c>
      <c r="F19" s="0" t="s">
        <v>141</v>
      </c>
      <c r="G19" s="0" t="s">
        <v>233</v>
      </c>
      <c r="H19" s="6" t="n">
        <f aca="false">'Import-dataset'!C11</f>
        <v>212</v>
      </c>
    </row>
    <row r="20" customFormat="false" ht="15" hidden="false" customHeight="false" outlineLevel="0" collapsed="false">
      <c r="A20" s="0" t="s">
        <v>231</v>
      </c>
      <c r="B20" s="0" t="n">
        <v>2024</v>
      </c>
      <c r="C20" s="0" t="s">
        <v>318</v>
      </c>
      <c r="D20" s="0" t="s">
        <v>319</v>
      </c>
      <c r="E20" s="0" t="s">
        <v>320</v>
      </c>
      <c r="F20" s="0" t="s">
        <v>141</v>
      </c>
      <c r="G20" s="0" t="s">
        <v>233</v>
      </c>
      <c r="H20" s="6" t="n">
        <f aca="false">'Import-dataset'!C12</f>
        <v>201</v>
      </c>
    </row>
    <row r="21" customFormat="false" ht="15" hidden="false" customHeight="false" outlineLevel="0" collapsed="false">
      <c r="A21" s="0" t="s">
        <v>231</v>
      </c>
      <c r="B21" s="0" t="n">
        <v>2025</v>
      </c>
      <c r="C21" s="0" t="s">
        <v>318</v>
      </c>
      <c r="D21" s="0" t="s">
        <v>319</v>
      </c>
      <c r="E21" s="0" t="s">
        <v>320</v>
      </c>
      <c r="F21" s="0" t="s">
        <v>141</v>
      </c>
      <c r="G21" s="0" t="s">
        <v>233</v>
      </c>
      <c r="H21" s="6" t="n">
        <f aca="false">'Import-dataset'!C13</f>
        <v>190</v>
      </c>
    </row>
    <row r="22" customFormat="false" ht="15" hidden="false" customHeight="false" outlineLevel="0" collapsed="false">
      <c r="A22" s="0" t="s">
        <v>231</v>
      </c>
      <c r="B22" s="0" t="n">
        <v>2016</v>
      </c>
      <c r="C22" s="0" t="s">
        <v>321</v>
      </c>
      <c r="D22" s="0" t="s">
        <v>319</v>
      </c>
      <c r="E22" s="0" t="s">
        <v>322</v>
      </c>
      <c r="F22" s="0" t="s">
        <v>141</v>
      </c>
      <c r="G22" s="0" t="s">
        <v>234</v>
      </c>
      <c r="H22" s="6" t="n">
        <f aca="false">'Import-dataset'!D4</f>
        <v>780</v>
      </c>
    </row>
    <row r="23" customFormat="false" ht="15" hidden="false" customHeight="false" outlineLevel="0" collapsed="false">
      <c r="A23" s="0" t="s">
        <v>231</v>
      </c>
      <c r="B23" s="0" t="n">
        <v>2017</v>
      </c>
      <c r="C23" s="0" t="s">
        <v>321</v>
      </c>
      <c r="D23" s="0" t="s">
        <v>319</v>
      </c>
      <c r="E23" s="0" t="s">
        <v>322</v>
      </c>
      <c r="F23" s="0" t="s">
        <v>141</v>
      </c>
      <c r="G23" s="0" t="s">
        <v>234</v>
      </c>
      <c r="H23" s="6" t="n">
        <f aca="false">'Import-dataset'!D5</f>
        <v>833</v>
      </c>
    </row>
    <row r="24" customFormat="false" ht="15" hidden="false" customHeight="false" outlineLevel="0" collapsed="false">
      <c r="A24" s="0" t="s">
        <v>231</v>
      </c>
      <c r="B24" s="0" t="n">
        <v>2018</v>
      </c>
      <c r="C24" s="0" t="s">
        <v>321</v>
      </c>
      <c r="D24" s="0" t="s">
        <v>319</v>
      </c>
      <c r="E24" s="0" t="s">
        <v>322</v>
      </c>
      <c r="F24" s="0" t="s">
        <v>141</v>
      </c>
      <c r="G24" s="0" t="s">
        <v>234</v>
      </c>
      <c r="H24" s="6" t="n">
        <f aca="false">'Import-dataset'!D6</f>
        <v>822</v>
      </c>
    </row>
    <row r="25" customFormat="false" ht="15" hidden="false" customHeight="false" outlineLevel="0" collapsed="false">
      <c r="A25" s="0" t="s">
        <v>231</v>
      </c>
      <c r="B25" s="0" t="n">
        <v>2019</v>
      </c>
      <c r="C25" s="0" t="s">
        <v>321</v>
      </c>
      <c r="D25" s="0" t="s">
        <v>319</v>
      </c>
      <c r="E25" s="0" t="s">
        <v>322</v>
      </c>
      <c r="F25" s="0" t="s">
        <v>141</v>
      </c>
      <c r="G25" s="0" t="s">
        <v>234</v>
      </c>
      <c r="H25" s="6" t="n">
        <f aca="false">'Import-dataset'!D7</f>
        <v>1029</v>
      </c>
    </row>
    <row r="26" customFormat="false" ht="15" hidden="false" customHeight="false" outlineLevel="0" collapsed="false">
      <c r="A26" s="0" t="s">
        <v>231</v>
      </c>
      <c r="B26" s="0" t="n">
        <v>2020</v>
      </c>
      <c r="C26" s="0" t="s">
        <v>321</v>
      </c>
      <c r="D26" s="0" t="s">
        <v>319</v>
      </c>
      <c r="E26" s="0" t="s">
        <v>322</v>
      </c>
      <c r="F26" s="0" t="s">
        <v>141</v>
      </c>
      <c r="G26" s="0" t="s">
        <v>234</v>
      </c>
      <c r="H26" s="6" t="n">
        <f aca="false">'Import-dataset'!D8</f>
        <v>905</v>
      </c>
    </row>
    <row r="27" customFormat="false" ht="15" hidden="false" customHeight="false" outlineLevel="0" collapsed="false">
      <c r="A27" s="0" t="s">
        <v>231</v>
      </c>
      <c r="B27" s="0" t="n">
        <v>2021</v>
      </c>
      <c r="C27" s="0" t="s">
        <v>321</v>
      </c>
      <c r="D27" s="0" t="s">
        <v>319</v>
      </c>
      <c r="E27" s="0" t="s">
        <v>322</v>
      </c>
      <c r="F27" s="0" t="s">
        <v>141</v>
      </c>
      <c r="G27" s="0" t="s">
        <v>234</v>
      </c>
      <c r="H27" s="6" t="n">
        <f aca="false">'Import-dataset'!D9</f>
        <v>966</v>
      </c>
    </row>
    <row r="28" customFormat="false" ht="15" hidden="false" customHeight="false" outlineLevel="0" collapsed="false">
      <c r="A28" s="0" t="s">
        <v>231</v>
      </c>
      <c r="B28" s="0" t="n">
        <v>2022</v>
      </c>
      <c r="C28" s="0" t="s">
        <v>321</v>
      </c>
      <c r="D28" s="0" t="s">
        <v>319</v>
      </c>
      <c r="E28" s="0" t="s">
        <v>322</v>
      </c>
      <c r="F28" s="0" t="s">
        <v>141</v>
      </c>
      <c r="G28" s="0" t="s">
        <v>234</v>
      </c>
      <c r="H28" s="6" t="n">
        <f aca="false">'Import-dataset'!D10</f>
        <v>1070</v>
      </c>
    </row>
    <row r="29" customFormat="false" ht="15" hidden="false" customHeight="false" outlineLevel="0" collapsed="false">
      <c r="A29" s="0" t="s">
        <v>231</v>
      </c>
      <c r="B29" s="0" t="n">
        <v>2023</v>
      </c>
      <c r="C29" s="0" t="s">
        <v>321</v>
      </c>
      <c r="D29" s="0" t="s">
        <v>319</v>
      </c>
      <c r="E29" s="0" t="s">
        <v>322</v>
      </c>
      <c r="F29" s="0" t="s">
        <v>141</v>
      </c>
      <c r="G29" s="0" t="s">
        <v>234</v>
      </c>
      <c r="H29" s="6" t="n">
        <f aca="false">'Import-dataset'!D11</f>
        <v>1035</v>
      </c>
    </row>
    <row r="30" customFormat="false" ht="15" hidden="false" customHeight="false" outlineLevel="0" collapsed="false">
      <c r="A30" s="0" t="s">
        <v>231</v>
      </c>
      <c r="B30" s="0" t="n">
        <v>2024</v>
      </c>
      <c r="C30" s="0" t="s">
        <v>321</v>
      </c>
      <c r="D30" s="0" t="s">
        <v>319</v>
      </c>
      <c r="E30" s="0" t="s">
        <v>322</v>
      </c>
      <c r="F30" s="0" t="s">
        <v>141</v>
      </c>
      <c r="G30" s="0" t="s">
        <v>234</v>
      </c>
      <c r="H30" s="6" t="n">
        <f aca="false">'Import-dataset'!D12</f>
        <v>1251</v>
      </c>
    </row>
    <row r="31" customFormat="false" ht="15" hidden="false" customHeight="false" outlineLevel="0" collapsed="false">
      <c r="A31" s="0" t="s">
        <v>231</v>
      </c>
      <c r="B31" s="0" t="n">
        <v>2025</v>
      </c>
      <c r="C31" s="0" t="s">
        <v>321</v>
      </c>
      <c r="D31" s="0" t="s">
        <v>319</v>
      </c>
      <c r="E31" s="0" t="s">
        <v>322</v>
      </c>
      <c r="F31" s="0" t="s">
        <v>141</v>
      </c>
      <c r="G31" s="0" t="s">
        <v>234</v>
      </c>
      <c r="H31" s="6" t="n">
        <f aca="false">'Import-dataset'!D13</f>
        <v>1252</v>
      </c>
    </row>
    <row r="32" customFormat="false" ht="15" hidden="false" customHeight="false" outlineLevel="0" collapsed="false">
      <c r="A32" s="0" t="s">
        <v>231</v>
      </c>
      <c r="B32" s="0" t="n">
        <v>2016</v>
      </c>
      <c r="C32" s="0" t="s">
        <v>323</v>
      </c>
      <c r="D32" s="0" t="s">
        <v>319</v>
      </c>
      <c r="E32" s="0" t="s">
        <v>324</v>
      </c>
      <c r="F32" s="0" t="s">
        <v>141</v>
      </c>
      <c r="G32" s="0" t="s">
        <v>235</v>
      </c>
      <c r="H32" s="6" t="n">
        <f aca="false">'Import-dataset'!E4</f>
        <v>1075</v>
      </c>
    </row>
    <row r="33" customFormat="false" ht="15" hidden="false" customHeight="false" outlineLevel="0" collapsed="false">
      <c r="A33" s="0" t="s">
        <v>231</v>
      </c>
      <c r="B33" s="0" t="n">
        <v>2017</v>
      </c>
      <c r="C33" s="0" t="s">
        <v>323</v>
      </c>
      <c r="D33" s="0" t="s">
        <v>319</v>
      </c>
      <c r="E33" s="0" t="s">
        <v>324</v>
      </c>
      <c r="F33" s="0" t="s">
        <v>141</v>
      </c>
      <c r="G33" s="0" t="s">
        <v>235</v>
      </c>
      <c r="H33" s="6" t="n">
        <f aca="false">'Import-dataset'!E5</f>
        <v>1321</v>
      </c>
    </row>
    <row r="34" customFormat="false" ht="15" hidden="false" customHeight="false" outlineLevel="0" collapsed="false">
      <c r="A34" s="0" t="s">
        <v>231</v>
      </c>
      <c r="B34" s="0" t="n">
        <v>2018</v>
      </c>
      <c r="C34" s="0" t="s">
        <v>323</v>
      </c>
      <c r="D34" s="0" t="s">
        <v>319</v>
      </c>
      <c r="E34" s="0" t="s">
        <v>324</v>
      </c>
      <c r="F34" s="0" t="s">
        <v>141</v>
      </c>
      <c r="G34" s="0" t="s">
        <v>235</v>
      </c>
      <c r="H34" s="6" t="n">
        <f aca="false">'Import-dataset'!E6</f>
        <v>1420</v>
      </c>
    </row>
    <row r="35" customFormat="false" ht="15" hidden="false" customHeight="false" outlineLevel="0" collapsed="false">
      <c r="A35" s="0" t="s">
        <v>231</v>
      </c>
      <c r="B35" s="0" t="n">
        <v>2019</v>
      </c>
      <c r="C35" s="0" t="s">
        <v>323</v>
      </c>
      <c r="D35" s="0" t="s">
        <v>319</v>
      </c>
      <c r="E35" s="0" t="s">
        <v>324</v>
      </c>
      <c r="F35" s="0" t="s">
        <v>141</v>
      </c>
      <c r="G35" s="0" t="s">
        <v>235</v>
      </c>
      <c r="H35" s="6" t="n">
        <f aca="false">'Import-dataset'!E7</f>
        <v>1477</v>
      </c>
    </row>
    <row r="36" customFormat="false" ht="15" hidden="false" customHeight="false" outlineLevel="0" collapsed="false">
      <c r="A36" s="0" t="s">
        <v>231</v>
      </c>
      <c r="B36" s="0" t="n">
        <v>2020</v>
      </c>
      <c r="C36" s="0" t="s">
        <v>323</v>
      </c>
      <c r="D36" s="0" t="s">
        <v>319</v>
      </c>
      <c r="E36" s="0" t="s">
        <v>324</v>
      </c>
      <c r="F36" s="0" t="s">
        <v>141</v>
      </c>
      <c r="G36" s="0" t="s">
        <v>235</v>
      </c>
      <c r="H36" s="6" t="n">
        <f aca="false">'Import-dataset'!E8</f>
        <v>1589</v>
      </c>
    </row>
    <row r="37" customFormat="false" ht="15" hidden="false" customHeight="false" outlineLevel="0" collapsed="false">
      <c r="A37" s="0" t="s">
        <v>231</v>
      </c>
      <c r="B37" s="0" t="n">
        <v>2021</v>
      </c>
      <c r="C37" s="0" t="s">
        <v>323</v>
      </c>
      <c r="D37" s="0" t="s">
        <v>319</v>
      </c>
      <c r="E37" s="0" t="s">
        <v>324</v>
      </c>
      <c r="F37" s="0" t="s">
        <v>141</v>
      </c>
      <c r="G37" s="0" t="s">
        <v>235</v>
      </c>
      <c r="H37" s="6" t="n">
        <f aca="false">'Import-dataset'!E9</f>
        <v>1438</v>
      </c>
    </row>
    <row r="38" customFormat="false" ht="15" hidden="false" customHeight="false" outlineLevel="0" collapsed="false">
      <c r="A38" s="0" t="s">
        <v>231</v>
      </c>
      <c r="B38" s="0" t="n">
        <v>2022</v>
      </c>
      <c r="C38" s="0" t="s">
        <v>323</v>
      </c>
      <c r="D38" s="0" t="s">
        <v>319</v>
      </c>
      <c r="E38" s="0" t="s">
        <v>324</v>
      </c>
      <c r="F38" s="0" t="s">
        <v>141</v>
      </c>
      <c r="G38" s="0" t="s">
        <v>235</v>
      </c>
      <c r="H38" s="6" t="n">
        <f aca="false">'Import-dataset'!E10</f>
        <v>1809</v>
      </c>
    </row>
    <row r="39" customFormat="false" ht="15" hidden="false" customHeight="false" outlineLevel="0" collapsed="false">
      <c r="A39" s="0" t="s">
        <v>231</v>
      </c>
      <c r="B39" s="0" t="n">
        <v>2023</v>
      </c>
      <c r="C39" s="0" t="s">
        <v>323</v>
      </c>
      <c r="D39" s="0" t="s">
        <v>319</v>
      </c>
      <c r="E39" s="0" t="s">
        <v>324</v>
      </c>
      <c r="F39" s="0" t="s">
        <v>141</v>
      </c>
      <c r="G39" s="0" t="s">
        <v>235</v>
      </c>
      <c r="H39" s="6" t="n">
        <f aca="false">'Import-dataset'!E11</f>
        <v>2034</v>
      </c>
    </row>
    <row r="40" customFormat="false" ht="15" hidden="false" customHeight="false" outlineLevel="0" collapsed="false">
      <c r="A40" s="0" t="s">
        <v>231</v>
      </c>
      <c r="B40" s="0" t="n">
        <v>2024</v>
      </c>
      <c r="C40" s="0" t="s">
        <v>323</v>
      </c>
      <c r="D40" s="0" t="s">
        <v>319</v>
      </c>
      <c r="E40" s="0" t="s">
        <v>324</v>
      </c>
      <c r="F40" s="0" t="s">
        <v>141</v>
      </c>
      <c r="G40" s="0" t="s">
        <v>235</v>
      </c>
      <c r="H40" s="6" t="n">
        <f aca="false">'Import-dataset'!E12</f>
        <v>1935</v>
      </c>
    </row>
    <row r="41" customFormat="false" ht="15" hidden="false" customHeight="false" outlineLevel="0" collapsed="false">
      <c r="A41" s="0" t="s">
        <v>231</v>
      </c>
      <c r="B41" s="0" t="n">
        <v>2025</v>
      </c>
      <c r="C41" s="0" t="s">
        <v>323</v>
      </c>
      <c r="D41" s="0" t="s">
        <v>319</v>
      </c>
      <c r="E41" s="0" t="s">
        <v>324</v>
      </c>
      <c r="F41" s="0" t="s">
        <v>141</v>
      </c>
      <c r="G41" s="0" t="s">
        <v>235</v>
      </c>
      <c r="H41" s="6" t="n">
        <f aca="false">'Import-dataset'!E13</f>
        <v>2295</v>
      </c>
    </row>
    <row r="42" customFormat="false" ht="15" hidden="false" customHeight="false" outlineLevel="0" collapsed="false">
      <c r="A42" s="0" t="s">
        <v>231</v>
      </c>
      <c r="B42" s="0" t="n">
        <v>2016</v>
      </c>
      <c r="C42" s="0" t="s">
        <v>325</v>
      </c>
      <c r="D42" s="0" t="s">
        <v>319</v>
      </c>
      <c r="E42" s="0" t="s">
        <v>326</v>
      </c>
      <c r="F42" s="0" t="s">
        <v>141</v>
      </c>
      <c r="G42" s="0" t="s">
        <v>236</v>
      </c>
      <c r="H42" s="6" t="n">
        <f aca="false">'Import-dataset'!F4</f>
        <v>1852</v>
      </c>
    </row>
    <row r="43" customFormat="false" ht="15" hidden="false" customHeight="false" outlineLevel="0" collapsed="false">
      <c r="A43" s="0" t="s">
        <v>231</v>
      </c>
      <c r="B43" s="0" t="n">
        <v>2017</v>
      </c>
      <c r="C43" s="0" t="s">
        <v>325</v>
      </c>
      <c r="D43" s="0" t="s">
        <v>319</v>
      </c>
      <c r="E43" s="0" t="s">
        <v>326</v>
      </c>
      <c r="F43" s="0" t="s">
        <v>141</v>
      </c>
      <c r="G43" s="0" t="s">
        <v>236</v>
      </c>
      <c r="H43" s="6" t="n">
        <f aca="false">'Import-dataset'!F5</f>
        <v>1950</v>
      </c>
    </row>
    <row r="44" customFormat="false" ht="15" hidden="false" customHeight="false" outlineLevel="0" collapsed="false">
      <c r="A44" s="0" t="s">
        <v>231</v>
      </c>
      <c r="B44" s="0" t="n">
        <v>2018</v>
      </c>
      <c r="C44" s="0" t="s">
        <v>325</v>
      </c>
      <c r="D44" s="0" t="s">
        <v>319</v>
      </c>
      <c r="E44" s="0" t="s">
        <v>326</v>
      </c>
      <c r="F44" s="0" t="s">
        <v>141</v>
      </c>
      <c r="G44" s="0" t="s">
        <v>236</v>
      </c>
      <c r="H44" s="6" t="n">
        <f aca="false">'Import-dataset'!F6</f>
        <v>2013</v>
      </c>
    </row>
    <row r="45" customFormat="false" ht="15" hidden="false" customHeight="false" outlineLevel="0" collapsed="false">
      <c r="A45" s="0" t="s">
        <v>231</v>
      </c>
      <c r="B45" s="0" t="n">
        <v>2019</v>
      </c>
      <c r="C45" s="0" t="s">
        <v>325</v>
      </c>
      <c r="D45" s="0" t="s">
        <v>319</v>
      </c>
      <c r="E45" s="0" t="s">
        <v>326</v>
      </c>
      <c r="F45" s="0" t="s">
        <v>141</v>
      </c>
      <c r="G45" s="0" t="s">
        <v>236</v>
      </c>
      <c r="H45" s="6" t="n">
        <f aca="false">'Import-dataset'!F7</f>
        <v>2034</v>
      </c>
    </row>
    <row r="46" customFormat="false" ht="15" hidden="false" customHeight="false" outlineLevel="0" collapsed="false">
      <c r="A46" s="0" t="s">
        <v>231</v>
      </c>
      <c r="B46" s="0" t="n">
        <v>2020</v>
      </c>
      <c r="C46" s="0" t="s">
        <v>325</v>
      </c>
      <c r="D46" s="0" t="s">
        <v>319</v>
      </c>
      <c r="E46" s="0" t="s">
        <v>326</v>
      </c>
      <c r="F46" s="0" t="s">
        <v>141</v>
      </c>
      <c r="G46" s="0" t="s">
        <v>236</v>
      </c>
      <c r="H46" s="6" t="n">
        <f aca="false">'Import-dataset'!F8</f>
        <v>1882</v>
      </c>
    </row>
    <row r="47" customFormat="false" ht="15" hidden="false" customHeight="false" outlineLevel="0" collapsed="false">
      <c r="A47" s="0" t="s">
        <v>231</v>
      </c>
      <c r="B47" s="0" t="n">
        <v>2021</v>
      </c>
      <c r="C47" s="0" t="s">
        <v>325</v>
      </c>
      <c r="D47" s="0" t="s">
        <v>319</v>
      </c>
      <c r="E47" s="0" t="s">
        <v>326</v>
      </c>
      <c r="F47" s="0" t="s">
        <v>141</v>
      </c>
      <c r="G47" s="0" t="s">
        <v>236</v>
      </c>
      <c r="H47" s="6" t="n">
        <f aca="false">'Import-dataset'!F9</f>
        <v>1874</v>
      </c>
    </row>
    <row r="48" customFormat="false" ht="15" hidden="false" customHeight="false" outlineLevel="0" collapsed="false">
      <c r="A48" s="0" t="s">
        <v>231</v>
      </c>
      <c r="B48" s="0" t="n">
        <v>2022</v>
      </c>
      <c r="C48" s="0" t="s">
        <v>325</v>
      </c>
      <c r="D48" s="0" t="s">
        <v>319</v>
      </c>
      <c r="E48" s="0" t="s">
        <v>326</v>
      </c>
      <c r="F48" s="0" t="s">
        <v>141</v>
      </c>
      <c r="G48" s="0" t="s">
        <v>236</v>
      </c>
      <c r="H48" s="6" t="n">
        <f aca="false">'Import-dataset'!F10</f>
        <v>2449</v>
      </c>
    </row>
    <row r="49" customFormat="false" ht="15" hidden="false" customHeight="false" outlineLevel="0" collapsed="false">
      <c r="A49" s="0" t="s">
        <v>231</v>
      </c>
      <c r="B49" s="0" t="n">
        <v>2023</v>
      </c>
      <c r="C49" s="0" t="s">
        <v>325</v>
      </c>
      <c r="D49" s="0" t="s">
        <v>319</v>
      </c>
      <c r="E49" s="0" t="s">
        <v>326</v>
      </c>
      <c r="F49" s="0" t="s">
        <v>141</v>
      </c>
      <c r="G49" s="0" t="s">
        <v>236</v>
      </c>
      <c r="H49" s="6" t="n">
        <f aca="false">'Import-dataset'!F11</f>
        <v>2230</v>
      </c>
    </row>
    <row r="50" customFormat="false" ht="15" hidden="false" customHeight="false" outlineLevel="0" collapsed="false">
      <c r="A50" s="0" t="s">
        <v>231</v>
      </c>
      <c r="B50" s="0" t="n">
        <v>2024</v>
      </c>
      <c r="C50" s="0" t="s">
        <v>325</v>
      </c>
      <c r="D50" s="0" t="s">
        <v>319</v>
      </c>
      <c r="E50" s="0" t="s">
        <v>326</v>
      </c>
      <c r="F50" s="0" t="s">
        <v>141</v>
      </c>
      <c r="G50" s="0" t="s">
        <v>236</v>
      </c>
      <c r="H50" s="6" t="n">
        <f aca="false">'Import-dataset'!F12</f>
        <v>2405</v>
      </c>
    </row>
    <row r="51" customFormat="false" ht="15" hidden="false" customHeight="false" outlineLevel="0" collapsed="false">
      <c r="A51" s="0" t="s">
        <v>231</v>
      </c>
      <c r="B51" s="0" t="n">
        <v>2025</v>
      </c>
      <c r="C51" s="0" t="s">
        <v>325</v>
      </c>
      <c r="D51" s="0" t="s">
        <v>319</v>
      </c>
      <c r="E51" s="0" t="s">
        <v>326</v>
      </c>
      <c r="F51" s="0" t="s">
        <v>141</v>
      </c>
      <c r="G51" s="0" t="s">
        <v>236</v>
      </c>
      <c r="H51" s="6" t="n">
        <f aca="false">'Import-dataset'!F13</f>
        <v>2548</v>
      </c>
    </row>
    <row r="52" customFormat="false" ht="15" hidden="false" customHeight="false" outlineLevel="0" collapsed="false">
      <c r="A52" s="0" t="s">
        <v>231</v>
      </c>
      <c r="B52" s="0" t="n">
        <v>2016</v>
      </c>
      <c r="C52" s="0" t="s">
        <v>327</v>
      </c>
      <c r="D52" s="0" t="s">
        <v>319</v>
      </c>
      <c r="E52" s="0" t="s">
        <v>328</v>
      </c>
      <c r="F52" s="0" t="s">
        <v>141</v>
      </c>
      <c r="G52" s="0" t="s">
        <v>237</v>
      </c>
      <c r="H52" s="6" t="n">
        <f aca="false">'Import-dataset'!G4</f>
        <v>1265</v>
      </c>
    </row>
    <row r="53" customFormat="false" ht="15" hidden="false" customHeight="false" outlineLevel="0" collapsed="false">
      <c r="A53" s="0" t="s">
        <v>231</v>
      </c>
      <c r="B53" s="0" t="n">
        <v>2017</v>
      </c>
      <c r="C53" s="0" t="s">
        <v>327</v>
      </c>
      <c r="D53" s="0" t="s">
        <v>319</v>
      </c>
      <c r="E53" s="0" t="s">
        <v>328</v>
      </c>
      <c r="F53" s="0" t="s">
        <v>141</v>
      </c>
      <c r="G53" s="0" t="s">
        <v>237</v>
      </c>
      <c r="H53" s="6" t="n">
        <f aca="false">'Import-dataset'!G5</f>
        <v>1309</v>
      </c>
    </row>
    <row r="54" customFormat="false" ht="15" hidden="false" customHeight="false" outlineLevel="0" collapsed="false">
      <c r="A54" s="0" t="s">
        <v>231</v>
      </c>
      <c r="B54" s="0" t="n">
        <v>2018</v>
      </c>
      <c r="C54" s="0" t="s">
        <v>327</v>
      </c>
      <c r="D54" s="0" t="s">
        <v>319</v>
      </c>
      <c r="E54" s="0" t="s">
        <v>328</v>
      </c>
      <c r="F54" s="0" t="s">
        <v>141</v>
      </c>
      <c r="G54" s="0" t="s">
        <v>237</v>
      </c>
      <c r="H54" s="6" t="n">
        <f aca="false">'Import-dataset'!G6</f>
        <v>1479</v>
      </c>
    </row>
    <row r="55" customFormat="false" ht="15" hidden="false" customHeight="false" outlineLevel="0" collapsed="false">
      <c r="A55" s="0" t="s">
        <v>231</v>
      </c>
      <c r="B55" s="0" t="n">
        <v>2019</v>
      </c>
      <c r="C55" s="0" t="s">
        <v>327</v>
      </c>
      <c r="D55" s="0" t="s">
        <v>319</v>
      </c>
      <c r="E55" s="0" t="s">
        <v>328</v>
      </c>
      <c r="F55" s="0" t="s">
        <v>141</v>
      </c>
      <c r="G55" s="0" t="s">
        <v>237</v>
      </c>
      <c r="H55" s="6" t="n">
        <f aca="false">'Import-dataset'!G7</f>
        <v>1916</v>
      </c>
    </row>
    <row r="56" customFormat="false" ht="15" hidden="false" customHeight="false" outlineLevel="0" collapsed="false">
      <c r="A56" s="0" t="s">
        <v>231</v>
      </c>
      <c r="B56" s="0" t="n">
        <v>2020</v>
      </c>
      <c r="C56" s="0" t="s">
        <v>327</v>
      </c>
      <c r="D56" s="0" t="s">
        <v>319</v>
      </c>
      <c r="E56" s="0" t="s">
        <v>328</v>
      </c>
      <c r="F56" s="0" t="s">
        <v>141</v>
      </c>
      <c r="G56" s="0" t="s">
        <v>237</v>
      </c>
      <c r="H56" s="6" t="n">
        <f aca="false">'Import-dataset'!G8</f>
        <v>2088</v>
      </c>
    </row>
    <row r="57" customFormat="false" ht="15" hidden="false" customHeight="false" outlineLevel="0" collapsed="false">
      <c r="A57" s="0" t="s">
        <v>231</v>
      </c>
      <c r="B57" s="0" t="n">
        <v>2021</v>
      </c>
      <c r="C57" s="0" t="s">
        <v>327</v>
      </c>
      <c r="D57" s="0" t="s">
        <v>319</v>
      </c>
      <c r="E57" s="0" t="s">
        <v>328</v>
      </c>
      <c r="F57" s="0" t="s">
        <v>141</v>
      </c>
      <c r="G57" s="0" t="s">
        <v>237</v>
      </c>
      <c r="H57" s="6" t="n">
        <f aca="false">'Import-dataset'!G9</f>
        <v>1727</v>
      </c>
    </row>
    <row r="58" customFormat="false" ht="15" hidden="false" customHeight="false" outlineLevel="0" collapsed="false">
      <c r="A58" s="0" t="s">
        <v>231</v>
      </c>
      <c r="B58" s="0" t="n">
        <v>2022</v>
      </c>
      <c r="C58" s="0" t="s">
        <v>327</v>
      </c>
      <c r="D58" s="0" t="s">
        <v>319</v>
      </c>
      <c r="E58" s="0" t="s">
        <v>328</v>
      </c>
      <c r="F58" s="0" t="s">
        <v>141</v>
      </c>
      <c r="G58" s="0" t="s">
        <v>237</v>
      </c>
      <c r="H58" s="6" t="n">
        <f aca="false">'Import-dataset'!G10</f>
        <v>2011</v>
      </c>
    </row>
    <row r="59" customFormat="false" ht="15" hidden="false" customHeight="false" outlineLevel="0" collapsed="false">
      <c r="A59" s="0" t="s">
        <v>231</v>
      </c>
      <c r="B59" s="0" t="n">
        <v>2023</v>
      </c>
      <c r="C59" s="0" t="s">
        <v>327</v>
      </c>
      <c r="D59" s="0" t="s">
        <v>319</v>
      </c>
      <c r="E59" s="0" t="s">
        <v>328</v>
      </c>
      <c r="F59" s="0" t="s">
        <v>141</v>
      </c>
      <c r="G59" s="0" t="s">
        <v>237</v>
      </c>
      <c r="H59" s="6" t="n">
        <f aca="false">'Import-dataset'!G11</f>
        <v>2136</v>
      </c>
    </row>
    <row r="60" customFormat="false" ht="15" hidden="false" customHeight="false" outlineLevel="0" collapsed="false">
      <c r="A60" s="0" t="s">
        <v>231</v>
      </c>
      <c r="B60" s="0" t="n">
        <v>2024</v>
      </c>
      <c r="C60" s="0" t="s">
        <v>327</v>
      </c>
      <c r="D60" s="0" t="s">
        <v>319</v>
      </c>
      <c r="E60" s="0" t="s">
        <v>328</v>
      </c>
      <c r="F60" s="0" t="s">
        <v>141</v>
      </c>
      <c r="G60" s="0" t="s">
        <v>237</v>
      </c>
      <c r="H60" s="6" t="n">
        <f aca="false">'Import-dataset'!G12</f>
        <v>2526</v>
      </c>
    </row>
    <row r="61" customFormat="false" ht="15" hidden="false" customHeight="false" outlineLevel="0" collapsed="false">
      <c r="A61" s="0" t="s">
        <v>231</v>
      </c>
      <c r="B61" s="0" t="n">
        <v>2025</v>
      </c>
      <c r="C61" s="0" t="s">
        <v>327</v>
      </c>
      <c r="D61" s="0" t="s">
        <v>319</v>
      </c>
      <c r="E61" s="0" t="s">
        <v>328</v>
      </c>
      <c r="F61" s="0" t="s">
        <v>141</v>
      </c>
      <c r="G61" s="0" t="s">
        <v>237</v>
      </c>
      <c r="H61" s="6" t="n">
        <f aca="false">'Import-dataset'!G13</f>
        <v>2618</v>
      </c>
    </row>
    <row r="62" customFormat="false" ht="15" hidden="false" customHeight="false" outlineLevel="0" collapsed="false">
      <c r="A62" s="0" t="s">
        <v>231</v>
      </c>
      <c r="B62" s="0" t="n">
        <v>2016</v>
      </c>
      <c r="C62" s="0" t="s">
        <v>329</v>
      </c>
      <c r="D62" s="0" t="s">
        <v>319</v>
      </c>
      <c r="E62" s="0" t="s">
        <v>330</v>
      </c>
      <c r="F62" s="0" t="s">
        <v>141</v>
      </c>
      <c r="G62" s="0" t="s">
        <v>238</v>
      </c>
      <c r="H62" s="6" t="n">
        <f aca="false">'Import-dataset'!H4</f>
        <v>2601</v>
      </c>
    </row>
    <row r="63" customFormat="false" ht="15" hidden="false" customHeight="false" outlineLevel="0" collapsed="false">
      <c r="A63" s="0" t="s">
        <v>231</v>
      </c>
      <c r="B63" s="0" t="n">
        <v>2017</v>
      </c>
      <c r="C63" s="0" t="s">
        <v>329</v>
      </c>
      <c r="D63" s="0" t="s">
        <v>319</v>
      </c>
      <c r="E63" s="0" t="s">
        <v>330</v>
      </c>
      <c r="F63" s="0" t="s">
        <v>141</v>
      </c>
      <c r="G63" s="0" t="s">
        <v>238</v>
      </c>
      <c r="H63" s="6" t="n">
        <f aca="false">'Import-dataset'!H5</f>
        <v>2684</v>
      </c>
    </row>
    <row r="64" customFormat="false" ht="15" hidden="false" customHeight="false" outlineLevel="0" collapsed="false">
      <c r="A64" s="0" t="s">
        <v>231</v>
      </c>
      <c r="B64" s="0" t="n">
        <v>2018</v>
      </c>
      <c r="C64" s="0" t="s">
        <v>329</v>
      </c>
      <c r="D64" s="0" t="s">
        <v>319</v>
      </c>
      <c r="E64" s="0" t="s">
        <v>330</v>
      </c>
      <c r="F64" s="0" t="s">
        <v>141</v>
      </c>
      <c r="G64" s="0" t="s">
        <v>238</v>
      </c>
      <c r="H64" s="6" t="n">
        <f aca="false">'Import-dataset'!H6</f>
        <v>2647</v>
      </c>
    </row>
    <row r="65" customFormat="false" ht="15" hidden="false" customHeight="false" outlineLevel="0" collapsed="false">
      <c r="A65" s="0" t="s">
        <v>231</v>
      </c>
      <c r="B65" s="0" t="n">
        <v>2019</v>
      </c>
      <c r="C65" s="0" t="s">
        <v>329</v>
      </c>
      <c r="D65" s="0" t="s">
        <v>319</v>
      </c>
      <c r="E65" s="0" t="s">
        <v>330</v>
      </c>
      <c r="F65" s="0" t="s">
        <v>141</v>
      </c>
      <c r="G65" s="0" t="s">
        <v>238</v>
      </c>
      <c r="H65" s="6" t="n">
        <f aca="false">'Import-dataset'!H7</f>
        <v>2806</v>
      </c>
    </row>
    <row r="66" customFormat="false" ht="15" hidden="false" customHeight="false" outlineLevel="0" collapsed="false">
      <c r="A66" s="0" t="s">
        <v>231</v>
      </c>
      <c r="B66" s="0" t="n">
        <v>2020</v>
      </c>
      <c r="C66" s="0" t="s">
        <v>329</v>
      </c>
      <c r="D66" s="0" t="s">
        <v>319</v>
      </c>
      <c r="E66" s="0" t="s">
        <v>330</v>
      </c>
      <c r="F66" s="0" t="s">
        <v>141</v>
      </c>
      <c r="G66" s="0" t="s">
        <v>238</v>
      </c>
      <c r="H66" s="6" t="n">
        <f aca="false">'Import-dataset'!H8</f>
        <v>3107</v>
      </c>
    </row>
    <row r="67" customFormat="false" ht="15" hidden="false" customHeight="false" outlineLevel="0" collapsed="false">
      <c r="A67" s="0" t="s">
        <v>231</v>
      </c>
      <c r="B67" s="0" t="n">
        <v>2021</v>
      </c>
      <c r="C67" s="0" t="s">
        <v>329</v>
      </c>
      <c r="D67" s="0" t="s">
        <v>319</v>
      </c>
      <c r="E67" s="0" t="s">
        <v>330</v>
      </c>
      <c r="F67" s="0" t="s">
        <v>141</v>
      </c>
      <c r="G67" s="0" t="s">
        <v>238</v>
      </c>
      <c r="H67" s="6" t="n">
        <f aca="false">'Import-dataset'!H9</f>
        <v>2837</v>
      </c>
    </row>
    <row r="68" customFormat="false" ht="15" hidden="false" customHeight="false" outlineLevel="0" collapsed="false">
      <c r="A68" s="0" t="s">
        <v>231</v>
      </c>
      <c r="B68" s="0" t="n">
        <v>2022</v>
      </c>
      <c r="C68" s="0" t="s">
        <v>329</v>
      </c>
      <c r="D68" s="0" t="s">
        <v>319</v>
      </c>
      <c r="E68" s="0" t="s">
        <v>330</v>
      </c>
      <c r="F68" s="0" t="s">
        <v>141</v>
      </c>
      <c r="G68" s="0" t="s">
        <v>238</v>
      </c>
      <c r="H68" s="6" t="n">
        <f aca="false">'Import-dataset'!H10</f>
        <v>3163</v>
      </c>
    </row>
    <row r="69" customFormat="false" ht="15" hidden="false" customHeight="false" outlineLevel="0" collapsed="false">
      <c r="A69" s="0" t="s">
        <v>231</v>
      </c>
      <c r="B69" s="0" t="n">
        <v>2023</v>
      </c>
      <c r="C69" s="0" t="s">
        <v>329</v>
      </c>
      <c r="D69" s="0" t="s">
        <v>319</v>
      </c>
      <c r="E69" s="0" t="s">
        <v>330</v>
      </c>
      <c r="F69" s="0" t="s">
        <v>141</v>
      </c>
      <c r="G69" s="0" t="s">
        <v>238</v>
      </c>
      <c r="H69" s="6" t="n">
        <f aca="false">'Import-dataset'!H11</f>
        <v>3366</v>
      </c>
    </row>
    <row r="70" customFormat="false" ht="15" hidden="false" customHeight="false" outlineLevel="0" collapsed="false">
      <c r="A70" s="0" t="s">
        <v>231</v>
      </c>
      <c r="B70" s="0" t="n">
        <v>2024</v>
      </c>
      <c r="C70" s="0" t="s">
        <v>329</v>
      </c>
      <c r="D70" s="0" t="s">
        <v>319</v>
      </c>
      <c r="E70" s="0" t="s">
        <v>330</v>
      </c>
      <c r="F70" s="0" t="s">
        <v>141</v>
      </c>
      <c r="G70" s="0" t="s">
        <v>238</v>
      </c>
      <c r="H70" s="6" t="n">
        <f aca="false">'Import-dataset'!H12</f>
        <v>3913</v>
      </c>
    </row>
    <row r="71" customFormat="false" ht="15" hidden="false" customHeight="false" outlineLevel="0" collapsed="false">
      <c r="A71" s="0" t="s">
        <v>231</v>
      </c>
      <c r="B71" s="0" t="n">
        <v>2025</v>
      </c>
      <c r="C71" s="0" t="s">
        <v>329</v>
      </c>
      <c r="D71" s="0" t="s">
        <v>319</v>
      </c>
      <c r="E71" s="0" t="s">
        <v>330</v>
      </c>
      <c r="F71" s="0" t="s">
        <v>141</v>
      </c>
      <c r="G71" s="0" t="s">
        <v>238</v>
      </c>
      <c r="H71" s="6" t="n">
        <f aca="false">'Import-dataset'!H13</f>
        <v>4138</v>
      </c>
    </row>
    <row r="72" customFormat="false" ht="15" hidden="false" customHeight="false" outlineLevel="0" collapsed="false">
      <c r="A72" s="0" t="s">
        <v>231</v>
      </c>
      <c r="B72" s="0" t="n">
        <v>2016</v>
      </c>
      <c r="C72" s="0" t="s">
        <v>331</v>
      </c>
      <c r="D72" s="0" t="s">
        <v>319</v>
      </c>
      <c r="E72" s="0" t="s">
        <v>332</v>
      </c>
      <c r="F72" s="0" t="s">
        <v>141</v>
      </c>
      <c r="G72" s="0" t="s">
        <v>239</v>
      </c>
      <c r="H72" s="6" t="n">
        <f aca="false">'Import-dataset'!I4</f>
        <v>483</v>
      </c>
    </row>
    <row r="73" customFormat="false" ht="15" hidden="false" customHeight="false" outlineLevel="0" collapsed="false">
      <c r="A73" s="0" t="s">
        <v>231</v>
      </c>
      <c r="B73" s="0" t="n">
        <v>2017</v>
      </c>
      <c r="C73" s="0" t="s">
        <v>331</v>
      </c>
      <c r="D73" s="0" t="s">
        <v>319</v>
      </c>
      <c r="E73" s="0" t="s">
        <v>332</v>
      </c>
      <c r="F73" s="0" t="s">
        <v>141</v>
      </c>
      <c r="G73" s="0" t="s">
        <v>239</v>
      </c>
      <c r="H73" s="6" t="n">
        <f aca="false">'Import-dataset'!I5</f>
        <v>460</v>
      </c>
    </row>
    <row r="74" customFormat="false" ht="15" hidden="false" customHeight="false" outlineLevel="0" collapsed="false">
      <c r="A74" s="0" t="s">
        <v>231</v>
      </c>
      <c r="B74" s="0" t="n">
        <v>2018</v>
      </c>
      <c r="C74" s="0" t="s">
        <v>331</v>
      </c>
      <c r="D74" s="0" t="s">
        <v>319</v>
      </c>
      <c r="E74" s="0" t="s">
        <v>332</v>
      </c>
      <c r="F74" s="0" t="s">
        <v>141</v>
      </c>
      <c r="G74" s="0" t="s">
        <v>239</v>
      </c>
      <c r="H74" s="6" t="n">
        <f aca="false">'Import-dataset'!I6</f>
        <v>483</v>
      </c>
    </row>
    <row r="75" customFormat="false" ht="15" hidden="false" customHeight="false" outlineLevel="0" collapsed="false">
      <c r="A75" s="0" t="s">
        <v>231</v>
      </c>
      <c r="B75" s="0" t="n">
        <v>2019</v>
      </c>
      <c r="C75" s="0" t="s">
        <v>331</v>
      </c>
      <c r="D75" s="0" t="s">
        <v>319</v>
      </c>
      <c r="E75" s="0" t="s">
        <v>332</v>
      </c>
      <c r="F75" s="0" t="s">
        <v>141</v>
      </c>
      <c r="G75" s="0" t="s">
        <v>239</v>
      </c>
      <c r="H75" s="6" t="n">
        <f aca="false">'Import-dataset'!I7</f>
        <v>485</v>
      </c>
    </row>
    <row r="76" customFormat="false" ht="15" hidden="false" customHeight="false" outlineLevel="0" collapsed="false">
      <c r="A76" s="0" t="s">
        <v>231</v>
      </c>
      <c r="B76" s="0" t="n">
        <v>2020</v>
      </c>
      <c r="C76" s="0" t="s">
        <v>331</v>
      </c>
      <c r="D76" s="0" t="s">
        <v>319</v>
      </c>
      <c r="E76" s="0" t="s">
        <v>332</v>
      </c>
      <c r="F76" s="0" t="s">
        <v>141</v>
      </c>
      <c r="G76" s="0" t="s">
        <v>239</v>
      </c>
      <c r="H76" s="6" t="n">
        <f aca="false">'Import-dataset'!I8</f>
        <v>489</v>
      </c>
    </row>
    <row r="77" customFormat="false" ht="15" hidden="false" customHeight="false" outlineLevel="0" collapsed="false">
      <c r="A77" s="0" t="s">
        <v>231</v>
      </c>
      <c r="B77" s="0" t="n">
        <v>2021</v>
      </c>
      <c r="C77" s="0" t="s">
        <v>331</v>
      </c>
      <c r="D77" s="0" t="s">
        <v>319</v>
      </c>
      <c r="E77" s="0" t="s">
        <v>332</v>
      </c>
      <c r="F77" s="0" t="s">
        <v>141</v>
      </c>
      <c r="G77" s="0" t="s">
        <v>239</v>
      </c>
      <c r="H77" s="6" t="n">
        <f aca="false">'Import-dataset'!I9</f>
        <v>491</v>
      </c>
    </row>
    <row r="78" customFormat="false" ht="15" hidden="false" customHeight="false" outlineLevel="0" collapsed="false">
      <c r="A78" s="0" t="s">
        <v>231</v>
      </c>
      <c r="B78" s="0" t="n">
        <v>2022</v>
      </c>
      <c r="C78" s="0" t="s">
        <v>331</v>
      </c>
      <c r="D78" s="0" t="s">
        <v>319</v>
      </c>
      <c r="E78" s="0" t="s">
        <v>332</v>
      </c>
      <c r="F78" s="0" t="s">
        <v>141</v>
      </c>
      <c r="G78" s="0" t="s">
        <v>239</v>
      </c>
      <c r="H78" s="6" t="n">
        <f aca="false">'Import-dataset'!I10</f>
        <v>565</v>
      </c>
    </row>
    <row r="79" customFormat="false" ht="15" hidden="false" customHeight="false" outlineLevel="0" collapsed="false">
      <c r="A79" s="0" t="s">
        <v>231</v>
      </c>
      <c r="B79" s="0" t="n">
        <v>2023</v>
      </c>
      <c r="C79" s="0" t="s">
        <v>331</v>
      </c>
      <c r="D79" s="0" t="s">
        <v>319</v>
      </c>
      <c r="E79" s="0" t="s">
        <v>332</v>
      </c>
      <c r="F79" s="0" t="s">
        <v>141</v>
      </c>
      <c r="G79" s="0" t="s">
        <v>239</v>
      </c>
      <c r="H79" s="6" t="n">
        <f aca="false">'Import-dataset'!I11</f>
        <v>611</v>
      </c>
    </row>
    <row r="80" customFormat="false" ht="15" hidden="false" customHeight="false" outlineLevel="0" collapsed="false">
      <c r="A80" s="0" t="s">
        <v>231</v>
      </c>
      <c r="B80" s="0" t="n">
        <v>2024</v>
      </c>
      <c r="C80" s="0" t="s">
        <v>331</v>
      </c>
      <c r="D80" s="0" t="s">
        <v>319</v>
      </c>
      <c r="E80" s="0" t="s">
        <v>332</v>
      </c>
      <c r="F80" s="0" t="s">
        <v>141</v>
      </c>
      <c r="G80" s="0" t="s">
        <v>239</v>
      </c>
      <c r="H80" s="6" t="n">
        <f aca="false">'Import-dataset'!I12</f>
        <v>688</v>
      </c>
    </row>
    <row r="81" customFormat="false" ht="15" hidden="false" customHeight="false" outlineLevel="0" collapsed="false">
      <c r="A81" s="0" t="s">
        <v>231</v>
      </c>
      <c r="B81" s="0" t="n">
        <v>2025</v>
      </c>
      <c r="C81" s="0" t="s">
        <v>331</v>
      </c>
      <c r="D81" s="0" t="s">
        <v>319</v>
      </c>
      <c r="E81" s="0" t="s">
        <v>332</v>
      </c>
      <c r="F81" s="0" t="s">
        <v>141</v>
      </c>
      <c r="G81" s="0" t="s">
        <v>239</v>
      </c>
      <c r="H81" s="6" t="n">
        <f aca="false">'Import-dataset'!I13</f>
        <v>715</v>
      </c>
    </row>
    <row r="82" customFormat="false" ht="15" hidden="false" customHeight="false" outlineLevel="0" collapsed="false">
      <c r="A82" s="0" t="s">
        <v>231</v>
      </c>
      <c r="B82" s="0" t="n">
        <v>2016</v>
      </c>
      <c r="C82" s="0" t="s">
        <v>333</v>
      </c>
      <c r="D82" s="0" t="s">
        <v>319</v>
      </c>
      <c r="E82" s="0" t="s">
        <v>334</v>
      </c>
      <c r="F82" s="0" t="s">
        <v>141</v>
      </c>
      <c r="G82" s="0" t="s">
        <v>240</v>
      </c>
      <c r="H82" s="6" t="n">
        <f aca="false">'Import-dataset'!J4</f>
        <v>1975</v>
      </c>
    </row>
    <row r="83" customFormat="false" ht="15" hidden="false" customHeight="false" outlineLevel="0" collapsed="false">
      <c r="A83" s="0" t="s">
        <v>231</v>
      </c>
      <c r="B83" s="0" t="n">
        <v>2017</v>
      </c>
      <c r="C83" s="0" t="s">
        <v>333</v>
      </c>
      <c r="D83" s="0" t="s">
        <v>319</v>
      </c>
      <c r="E83" s="0" t="s">
        <v>334</v>
      </c>
      <c r="F83" s="0" t="s">
        <v>141</v>
      </c>
      <c r="G83" s="0" t="s">
        <v>240</v>
      </c>
      <c r="H83" s="6" t="n">
        <f aca="false">'Import-dataset'!J5</f>
        <v>2057</v>
      </c>
    </row>
    <row r="84" customFormat="false" ht="15" hidden="false" customHeight="false" outlineLevel="0" collapsed="false">
      <c r="A84" s="0" t="s">
        <v>231</v>
      </c>
      <c r="B84" s="0" t="n">
        <v>2018</v>
      </c>
      <c r="C84" s="0" t="s">
        <v>333</v>
      </c>
      <c r="D84" s="0" t="s">
        <v>319</v>
      </c>
      <c r="E84" s="0" t="s">
        <v>334</v>
      </c>
      <c r="F84" s="0" t="s">
        <v>141</v>
      </c>
      <c r="G84" s="0" t="s">
        <v>240</v>
      </c>
      <c r="H84" s="6" t="n">
        <f aca="false">'Import-dataset'!J6</f>
        <v>2031</v>
      </c>
    </row>
    <row r="85" customFormat="false" ht="15" hidden="false" customHeight="false" outlineLevel="0" collapsed="false">
      <c r="A85" s="0" t="s">
        <v>231</v>
      </c>
      <c r="B85" s="0" t="n">
        <v>2019</v>
      </c>
      <c r="C85" s="0" t="s">
        <v>333</v>
      </c>
      <c r="D85" s="0" t="s">
        <v>319</v>
      </c>
      <c r="E85" s="0" t="s">
        <v>334</v>
      </c>
      <c r="F85" s="0" t="s">
        <v>141</v>
      </c>
      <c r="G85" s="0" t="s">
        <v>240</v>
      </c>
      <c r="H85" s="6" t="n">
        <f aca="false">'Import-dataset'!J7</f>
        <v>2131</v>
      </c>
    </row>
    <row r="86" customFormat="false" ht="15" hidden="false" customHeight="false" outlineLevel="0" collapsed="false">
      <c r="A86" s="0" t="s">
        <v>231</v>
      </c>
      <c r="B86" s="0" t="n">
        <v>2020</v>
      </c>
      <c r="C86" s="0" t="s">
        <v>333</v>
      </c>
      <c r="D86" s="0" t="s">
        <v>319</v>
      </c>
      <c r="E86" s="0" t="s">
        <v>334</v>
      </c>
      <c r="F86" s="0" t="s">
        <v>141</v>
      </c>
      <c r="G86" s="0" t="s">
        <v>240</v>
      </c>
      <c r="H86" s="6" t="n">
        <f aca="false">'Import-dataset'!J8</f>
        <v>2208</v>
      </c>
    </row>
    <row r="87" customFormat="false" ht="15" hidden="false" customHeight="false" outlineLevel="0" collapsed="false">
      <c r="A87" s="0" t="s">
        <v>231</v>
      </c>
      <c r="B87" s="0" t="n">
        <v>2021</v>
      </c>
      <c r="C87" s="0" t="s">
        <v>333</v>
      </c>
      <c r="D87" s="0" t="s">
        <v>319</v>
      </c>
      <c r="E87" s="0" t="s">
        <v>334</v>
      </c>
      <c r="F87" s="0" t="s">
        <v>141</v>
      </c>
      <c r="G87" s="0" t="s">
        <v>240</v>
      </c>
      <c r="H87" s="6" t="n">
        <f aca="false">'Import-dataset'!J9</f>
        <v>2164</v>
      </c>
    </row>
    <row r="88" customFormat="false" ht="15" hidden="false" customHeight="false" outlineLevel="0" collapsed="false">
      <c r="A88" s="0" t="s">
        <v>231</v>
      </c>
      <c r="B88" s="0" t="n">
        <v>2022</v>
      </c>
      <c r="C88" s="0" t="s">
        <v>333</v>
      </c>
      <c r="D88" s="0" t="s">
        <v>319</v>
      </c>
      <c r="E88" s="0" t="s">
        <v>334</v>
      </c>
      <c r="F88" s="0" t="s">
        <v>141</v>
      </c>
      <c r="G88" s="0" t="s">
        <v>240</v>
      </c>
      <c r="H88" s="6" t="n">
        <f aca="false">'Import-dataset'!J10</f>
        <v>2566</v>
      </c>
    </row>
    <row r="89" customFormat="false" ht="15" hidden="false" customHeight="false" outlineLevel="0" collapsed="false">
      <c r="A89" s="0" t="s">
        <v>231</v>
      </c>
      <c r="B89" s="0" t="n">
        <v>2023</v>
      </c>
      <c r="C89" s="0" t="s">
        <v>333</v>
      </c>
      <c r="D89" s="0" t="s">
        <v>319</v>
      </c>
      <c r="E89" s="0" t="s">
        <v>334</v>
      </c>
      <c r="F89" s="0" t="s">
        <v>141</v>
      </c>
      <c r="G89" s="0" t="s">
        <v>240</v>
      </c>
      <c r="H89" s="6" t="n">
        <f aca="false">'Import-dataset'!J11</f>
        <v>2582</v>
      </c>
    </row>
    <row r="90" customFormat="false" ht="15" hidden="false" customHeight="false" outlineLevel="0" collapsed="false">
      <c r="A90" s="0" t="s">
        <v>231</v>
      </c>
      <c r="B90" s="0" t="n">
        <v>2024</v>
      </c>
      <c r="C90" s="0" t="s">
        <v>333</v>
      </c>
      <c r="D90" s="0" t="s">
        <v>319</v>
      </c>
      <c r="E90" s="0" t="s">
        <v>334</v>
      </c>
      <c r="F90" s="0" t="s">
        <v>141</v>
      </c>
      <c r="G90" s="0" t="s">
        <v>240</v>
      </c>
      <c r="H90" s="6" t="n">
        <f aca="false">'Import-dataset'!J12</f>
        <v>3250</v>
      </c>
    </row>
    <row r="91" customFormat="false" ht="15" hidden="false" customHeight="false" outlineLevel="0" collapsed="false">
      <c r="A91" s="0" t="s">
        <v>231</v>
      </c>
      <c r="B91" s="0" t="n">
        <v>2025</v>
      </c>
      <c r="C91" s="0" t="s">
        <v>333</v>
      </c>
      <c r="D91" s="0" t="s">
        <v>319</v>
      </c>
      <c r="E91" s="0" t="s">
        <v>334</v>
      </c>
      <c r="F91" s="0" t="s">
        <v>141</v>
      </c>
      <c r="G91" s="0" t="s">
        <v>240</v>
      </c>
      <c r="H91" s="6" t="n">
        <f aca="false">'Import-dataset'!J13</f>
        <v>4510</v>
      </c>
    </row>
    <row r="92" customFormat="false" ht="15" hidden="false" customHeight="false" outlineLevel="0" collapsed="false">
      <c r="A92" s="0" t="s">
        <v>231</v>
      </c>
      <c r="B92" s="0" t="n">
        <v>2016</v>
      </c>
      <c r="C92" s="0" t="s">
        <v>335</v>
      </c>
      <c r="D92" s="0" t="s">
        <v>319</v>
      </c>
      <c r="E92" s="0" t="s">
        <v>336</v>
      </c>
      <c r="F92" s="0" t="s">
        <v>141</v>
      </c>
      <c r="G92" s="0" t="s">
        <v>241</v>
      </c>
      <c r="H92" s="6" t="n">
        <f aca="false">'Import-dataset'!K4</f>
        <v>919</v>
      </c>
    </row>
    <row r="93" customFormat="false" ht="15" hidden="false" customHeight="false" outlineLevel="0" collapsed="false">
      <c r="A93" s="0" t="s">
        <v>231</v>
      </c>
      <c r="B93" s="0" t="n">
        <v>2017</v>
      </c>
      <c r="C93" s="0" t="s">
        <v>335</v>
      </c>
      <c r="D93" s="0" t="s">
        <v>319</v>
      </c>
      <c r="E93" s="0" t="s">
        <v>336</v>
      </c>
      <c r="F93" s="0" t="s">
        <v>141</v>
      </c>
      <c r="G93" s="0" t="s">
        <v>241</v>
      </c>
      <c r="H93" s="6" t="n">
        <f aca="false">'Import-dataset'!K5</f>
        <v>939</v>
      </c>
    </row>
    <row r="94" customFormat="false" ht="15" hidden="false" customHeight="false" outlineLevel="0" collapsed="false">
      <c r="A94" s="0" t="s">
        <v>231</v>
      </c>
      <c r="B94" s="0" t="n">
        <v>2018</v>
      </c>
      <c r="C94" s="0" t="s">
        <v>335</v>
      </c>
      <c r="D94" s="0" t="s">
        <v>319</v>
      </c>
      <c r="E94" s="0" t="s">
        <v>336</v>
      </c>
      <c r="F94" s="0" t="s">
        <v>141</v>
      </c>
      <c r="G94" s="0" t="s">
        <v>241</v>
      </c>
      <c r="H94" s="6" t="n">
        <f aca="false">'Import-dataset'!K6</f>
        <v>1100</v>
      </c>
    </row>
    <row r="95" customFormat="false" ht="15" hidden="false" customHeight="false" outlineLevel="0" collapsed="false">
      <c r="A95" s="0" t="s">
        <v>231</v>
      </c>
      <c r="B95" s="0" t="n">
        <v>2019</v>
      </c>
      <c r="C95" s="0" t="s">
        <v>335</v>
      </c>
      <c r="D95" s="0" t="s">
        <v>319</v>
      </c>
      <c r="E95" s="0" t="s">
        <v>336</v>
      </c>
      <c r="F95" s="0" t="s">
        <v>141</v>
      </c>
      <c r="G95" s="0" t="s">
        <v>241</v>
      </c>
      <c r="H95" s="6" t="n">
        <f aca="false">'Import-dataset'!K7</f>
        <v>1238</v>
      </c>
    </row>
    <row r="96" customFormat="false" ht="15" hidden="false" customHeight="false" outlineLevel="0" collapsed="false">
      <c r="A96" s="0" t="s">
        <v>231</v>
      </c>
      <c r="B96" s="0" t="n">
        <v>2020</v>
      </c>
      <c r="C96" s="0" t="s">
        <v>335</v>
      </c>
      <c r="D96" s="0" t="s">
        <v>319</v>
      </c>
      <c r="E96" s="0" t="s">
        <v>336</v>
      </c>
      <c r="F96" s="0" t="s">
        <v>141</v>
      </c>
      <c r="G96" s="0" t="s">
        <v>241</v>
      </c>
      <c r="H96" s="6" t="n">
        <f aca="false">'Import-dataset'!K8</f>
        <v>1355</v>
      </c>
    </row>
    <row r="97" customFormat="false" ht="15" hidden="false" customHeight="false" outlineLevel="0" collapsed="false">
      <c r="A97" s="0" t="s">
        <v>231</v>
      </c>
      <c r="B97" s="0" t="n">
        <v>2021</v>
      </c>
      <c r="C97" s="0" t="s">
        <v>335</v>
      </c>
      <c r="D97" s="0" t="s">
        <v>319</v>
      </c>
      <c r="E97" s="0" t="s">
        <v>336</v>
      </c>
      <c r="F97" s="0" t="s">
        <v>141</v>
      </c>
      <c r="G97" s="0" t="s">
        <v>241</v>
      </c>
      <c r="H97" s="6" t="n">
        <f aca="false">'Import-dataset'!K9</f>
        <v>1220</v>
      </c>
    </row>
    <row r="98" customFormat="false" ht="15" hidden="false" customHeight="false" outlineLevel="0" collapsed="false">
      <c r="A98" s="0" t="s">
        <v>231</v>
      </c>
      <c r="B98" s="0" t="n">
        <v>2022</v>
      </c>
      <c r="C98" s="0" t="s">
        <v>335</v>
      </c>
      <c r="D98" s="0" t="s">
        <v>319</v>
      </c>
      <c r="E98" s="0" t="s">
        <v>336</v>
      </c>
      <c r="F98" s="0" t="s">
        <v>141</v>
      </c>
      <c r="G98" s="0" t="s">
        <v>241</v>
      </c>
      <c r="H98" s="6" t="n">
        <f aca="false">'Import-dataset'!K10</f>
        <v>1660</v>
      </c>
    </row>
    <row r="99" customFormat="false" ht="15" hidden="false" customHeight="false" outlineLevel="0" collapsed="false">
      <c r="A99" s="0" t="s">
        <v>231</v>
      </c>
      <c r="B99" s="0" t="n">
        <v>2023</v>
      </c>
      <c r="C99" s="0" t="s">
        <v>335</v>
      </c>
      <c r="D99" s="0" t="s">
        <v>319</v>
      </c>
      <c r="E99" s="0" t="s">
        <v>336</v>
      </c>
      <c r="F99" s="0" t="s">
        <v>141</v>
      </c>
      <c r="G99" s="0" t="s">
        <v>241</v>
      </c>
      <c r="H99" s="6" t="n">
        <f aca="false">'Import-dataset'!K11</f>
        <v>1438</v>
      </c>
    </row>
    <row r="100" customFormat="false" ht="15" hidden="false" customHeight="false" outlineLevel="0" collapsed="false">
      <c r="A100" s="0" t="s">
        <v>231</v>
      </c>
      <c r="B100" s="0" t="n">
        <v>2024</v>
      </c>
      <c r="C100" s="0" t="s">
        <v>335</v>
      </c>
      <c r="D100" s="0" t="s">
        <v>319</v>
      </c>
      <c r="E100" s="0" t="s">
        <v>336</v>
      </c>
      <c r="F100" s="0" t="s">
        <v>141</v>
      </c>
      <c r="G100" s="0" t="s">
        <v>241</v>
      </c>
      <c r="H100" s="6" t="n">
        <f aca="false">'Import-dataset'!K12</f>
        <v>1647</v>
      </c>
    </row>
    <row r="101" customFormat="false" ht="15" hidden="false" customHeight="false" outlineLevel="0" collapsed="false">
      <c r="A101" s="0" t="s">
        <v>231</v>
      </c>
      <c r="B101" s="0" t="n">
        <v>2025</v>
      </c>
      <c r="C101" s="0" t="s">
        <v>335</v>
      </c>
      <c r="D101" s="0" t="s">
        <v>319</v>
      </c>
      <c r="E101" s="0" t="s">
        <v>336</v>
      </c>
      <c r="F101" s="0" t="s">
        <v>141</v>
      </c>
      <c r="G101" s="0" t="s">
        <v>241</v>
      </c>
      <c r="H101" s="6" t="n">
        <f aca="false">'Import-dataset'!K13</f>
        <v>1518</v>
      </c>
    </row>
    <row r="102" customFormat="false" ht="15" hidden="false" customHeight="false" outlineLevel="0" collapsed="false">
      <c r="A102" s="0" t="s">
        <v>231</v>
      </c>
      <c r="B102" s="0" t="n">
        <v>2016</v>
      </c>
      <c r="C102" s="0" t="s">
        <v>337</v>
      </c>
      <c r="D102" s="0" t="s">
        <v>319</v>
      </c>
      <c r="E102" s="0" t="s">
        <v>338</v>
      </c>
      <c r="F102" s="0" t="s">
        <v>141</v>
      </c>
      <c r="G102" s="0" t="s">
        <v>242</v>
      </c>
      <c r="H102" s="6" t="n">
        <f aca="false">'Import-dataset'!L4</f>
        <v>2908</v>
      </c>
    </row>
    <row r="103" customFormat="false" ht="15" hidden="false" customHeight="false" outlineLevel="0" collapsed="false">
      <c r="A103" s="0" t="s">
        <v>231</v>
      </c>
      <c r="B103" s="0" t="n">
        <v>2017</v>
      </c>
      <c r="C103" s="0" t="s">
        <v>337</v>
      </c>
      <c r="D103" s="0" t="s">
        <v>319</v>
      </c>
      <c r="E103" s="0" t="s">
        <v>338</v>
      </c>
      <c r="F103" s="0" t="s">
        <v>141</v>
      </c>
      <c r="G103" s="0" t="s">
        <v>242</v>
      </c>
      <c r="H103" s="6" t="n">
        <f aca="false">'Import-dataset'!L5</f>
        <v>2593</v>
      </c>
    </row>
    <row r="104" customFormat="false" ht="15" hidden="false" customHeight="false" outlineLevel="0" collapsed="false">
      <c r="A104" s="0" t="s">
        <v>231</v>
      </c>
      <c r="B104" s="0" t="n">
        <v>2018</v>
      </c>
      <c r="C104" s="0" t="s">
        <v>337</v>
      </c>
      <c r="D104" s="0" t="s">
        <v>319</v>
      </c>
      <c r="E104" s="0" t="s">
        <v>338</v>
      </c>
      <c r="F104" s="0" t="s">
        <v>141</v>
      </c>
      <c r="G104" s="0" t="s">
        <v>242</v>
      </c>
      <c r="H104" s="6" t="n">
        <f aca="false">'Import-dataset'!L6</f>
        <v>2970</v>
      </c>
    </row>
    <row r="105" customFormat="false" ht="15" hidden="false" customHeight="false" outlineLevel="0" collapsed="false">
      <c r="A105" s="0" t="s">
        <v>231</v>
      </c>
      <c r="B105" s="0" t="n">
        <v>2019</v>
      </c>
      <c r="C105" s="0" t="s">
        <v>337</v>
      </c>
      <c r="D105" s="0" t="s">
        <v>319</v>
      </c>
      <c r="E105" s="0" t="s">
        <v>338</v>
      </c>
      <c r="F105" s="0" t="s">
        <v>141</v>
      </c>
      <c r="G105" s="0" t="s">
        <v>242</v>
      </c>
      <c r="H105" s="6" t="n">
        <f aca="false">'Import-dataset'!L7</f>
        <v>3678</v>
      </c>
    </row>
    <row r="106" customFormat="false" ht="15" hidden="false" customHeight="false" outlineLevel="0" collapsed="false">
      <c r="A106" s="0" t="s">
        <v>231</v>
      </c>
      <c r="B106" s="0" t="n">
        <v>2020</v>
      </c>
      <c r="C106" s="0" t="s">
        <v>337</v>
      </c>
      <c r="D106" s="0" t="s">
        <v>319</v>
      </c>
      <c r="E106" s="0" t="s">
        <v>338</v>
      </c>
      <c r="F106" s="0" t="s">
        <v>141</v>
      </c>
      <c r="G106" s="0" t="s">
        <v>242</v>
      </c>
      <c r="H106" s="6" t="n">
        <f aca="false">'Import-dataset'!L8</f>
        <v>3824</v>
      </c>
    </row>
    <row r="107" customFormat="false" ht="15" hidden="false" customHeight="false" outlineLevel="0" collapsed="false">
      <c r="A107" s="0" t="s">
        <v>231</v>
      </c>
      <c r="B107" s="0" t="n">
        <v>2021</v>
      </c>
      <c r="C107" s="0" t="s">
        <v>337</v>
      </c>
      <c r="D107" s="0" t="s">
        <v>319</v>
      </c>
      <c r="E107" s="0" t="s">
        <v>338</v>
      </c>
      <c r="F107" s="0" t="s">
        <v>141</v>
      </c>
      <c r="G107" s="0" t="s">
        <v>242</v>
      </c>
      <c r="H107" s="6" t="n">
        <f aca="false">'Import-dataset'!L9</f>
        <v>3535</v>
      </c>
    </row>
    <row r="108" customFormat="false" ht="15" hidden="false" customHeight="false" outlineLevel="0" collapsed="false">
      <c r="A108" s="0" t="s">
        <v>231</v>
      </c>
      <c r="B108" s="0" t="n">
        <v>2022</v>
      </c>
      <c r="C108" s="0" t="s">
        <v>337</v>
      </c>
      <c r="D108" s="0" t="s">
        <v>319</v>
      </c>
      <c r="E108" s="0" t="s">
        <v>338</v>
      </c>
      <c r="F108" s="0" t="s">
        <v>141</v>
      </c>
      <c r="G108" s="0" t="s">
        <v>242</v>
      </c>
      <c r="H108" s="6" t="n">
        <f aca="false">'Import-dataset'!L10</f>
        <v>4063</v>
      </c>
    </row>
    <row r="109" customFormat="false" ht="15" hidden="false" customHeight="false" outlineLevel="0" collapsed="false">
      <c r="A109" s="0" t="s">
        <v>231</v>
      </c>
      <c r="B109" s="0" t="n">
        <v>2023</v>
      </c>
      <c r="C109" s="0" t="s">
        <v>337</v>
      </c>
      <c r="D109" s="0" t="s">
        <v>319</v>
      </c>
      <c r="E109" s="0" t="s">
        <v>338</v>
      </c>
      <c r="F109" s="0" t="s">
        <v>141</v>
      </c>
      <c r="G109" s="0" t="s">
        <v>242</v>
      </c>
      <c r="H109" s="6" t="n">
        <f aca="false">'Import-dataset'!L11</f>
        <v>4035</v>
      </c>
    </row>
    <row r="110" customFormat="false" ht="15" hidden="false" customHeight="false" outlineLevel="0" collapsed="false">
      <c r="A110" s="0" t="s">
        <v>231</v>
      </c>
      <c r="B110" s="0" t="n">
        <v>2024</v>
      </c>
      <c r="C110" s="0" t="s">
        <v>337</v>
      </c>
      <c r="D110" s="0" t="s">
        <v>319</v>
      </c>
      <c r="E110" s="0" t="s">
        <v>338</v>
      </c>
      <c r="F110" s="0" t="s">
        <v>141</v>
      </c>
      <c r="G110" s="0" t="s">
        <v>242</v>
      </c>
      <c r="H110" s="6" t="n">
        <f aca="false">'Import-dataset'!L12</f>
        <v>4477</v>
      </c>
    </row>
    <row r="111" customFormat="false" ht="15" hidden="false" customHeight="false" outlineLevel="0" collapsed="false">
      <c r="A111" s="0" t="s">
        <v>231</v>
      </c>
      <c r="B111" s="0" t="n">
        <v>2025</v>
      </c>
      <c r="C111" s="0" t="s">
        <v>337</v>
      </c>
      <c r="D111" s="0" t="s">
        <v>319</v>
      </c>
      <c r="E111" s="0" t="s">
        <v>338</v>
      </c>
      <c r="F111" s="0" t="s">
        <v>141</v>
      </c>
      <c r="G111" s="0" t="s">
        <v>242</v>
      </c>
      <c r="H111" s="6" t="n">
        <f aca="false">'Import-dataset'!L13</f>
        <v>4731</v>
      </c>
    </row>
    <row r="112" customFormat="false" ht="15" hidden="false" customHeight="false" outlineLevel="0" collapsed="false">
      <c r="A112" s="0" t="s">
        <v>231</v>
      </c>
      <c r="B112" s="0" t="n">
        <v>2016</v>
      </c>
      <c r="C112" s="0" t="s">
        <v>339</v>
      </c>
      <c r="D112" s="0" t="s">
        <v>316</v>
      </c>
      <c r="E112" s="0" t="s">
        <v>340</v>
      </c>
      <c r="F112" s="0" t="s">
        <v>141</v>
      </c>
      <c r="G112" s="0" t="s">
        <v>243</v>
      </c>
      <c r="H112" s="6" t="n">
        <f aca="false">'Import-dataset'!M4</f>
        <v>3271</v>
      </c>
    </row>
    <row r="113" customFormat="false" ht="15" hidden="false" customHeight="false" outlineLevel="0" collapsed="false">
      <c r="A113" s="0" t="s">
        <v>231</v>
      </c>
      <c r="B113" s="0" t="n">
        <v>2017</v>
      </c>
      <c r="C113" s="0" t="s">
        <v>339</v>
      </c>
      <c r="D113" s="0" t="s">
        <v>316</v>
      </c>
      <c r="E113" s="0" t="s">
        <v>340</v>
      </c>
      <c r="F113" s="0" t="s">
        <v>141</v>
      </c>
      <c r="G113" s="0" t="s">
        <v>243</v>
      </c>
      <c r="H113" s="6" t="n">
        <f aca="false">'Import-dataset'!M5</f>
        <v>3285</v>
      </c>
    </row>
    <row r="114" customFormat="false" ht="15" hidden="false" customHeight="false" outlineLevel="0" collapsed="false">
      <c r="A114" s="0" t="s">
        <v>231</v>
      </c>
      <c r="B114" s="0" t="n">
        <v>2018</v>
      </c>
      <c r="C114" s="0" t="s">
        <v>339</v>
      </c>
      <c r="D114" s="0" t="s">
        <v>316</v>
      </c>
      <c r="E114" s="0" t="s">
        <v>340</v>
      </c>
      <c r="F114" s="0" t="s">
        <v>141</v>
      </c>
      <c r="G114" s="0" t="s">
        <v>243</v>
      </c>
      <c r="H114" s="6" t="n">
        <f aca="false">'Import-dataset'!M6</f>
        <v>3541</v>
      </c>
    </row>
    <row r="115" customFormat="false" ht="15" hidden="false" customHeight="false" outlineLevel="0" collapsed="false">
      <c r="A115" s="0" t="s">
        <v>231</v>
      </c>
      <c r="B115" s="0" t="n">
        <v>2019</v>
      </c>
      <c r="C115" s="0" t="s">
        <v>339</v>
      </c>
      <c r="D115" s="0" t="s">
        <v>316</v>
      </c>
      <c r="E115" s="0" t="s">
        <v>340</v>
      </c>
      <c r="F115" s="0" t="s">
        <v>141</v>
      </c>
      <c r="G115" s="0" t="s">
        <v>243</v>
      </c>
      <c r="H115" s="6" t="n">
        <f aca="false">'Import-dataset'!M7</f>
        <v>3798</v>
      </c>
    </row>
    <row r="116" customFormat="false" ht="15" hidden="false" customHeight="false" outlineLevel="0" collapsed="false">
      <c r="A116" s="0" t="s">
        <v>231</v>
      </c>
      <c r="B116" s="0" t="n">
        <v>2020</v>
      </c>
      <c r="C116" s="0" t="s">
        <v>339</v>
      </c>
      <c r="D116" s="0" t="s">
        <v>316</v>
      </c>
      <c r="E116" s="0" t="s">
        <v>340</v>
      </c>
      <c r="F116" s="0" t="s">
        <v>141</v>
      </c>
      <c r="G116" s="0" t="s">
        <v>243</v>
      </c>
      <c r="H116" s="6" t="n">
        <f aca="false">'Import-dataset'!M8</f>
        <v>3475</v>
      </c>
    </row>
    <row r="117" customFormat="false" ht="15" hidden="false" customHeight="false" outlineLevel="0" collapsed="false">
      <c r="A117" s="0" t="s">
        <v>231</v>
      </c>
      <c r="B117" s="0" t="n">
        <v>2021</v>
      </c>
      <c r="C117" s="0" t="s">
        <v>339</v>
      </c>
      <c r="D117" s="0" t="s">
        <v>316</v>
      </c>
      <c r="E117" s="0" t="s">
        <v>340</v>
      </c>
      <c r="F117" s="0" t="s">
        <v>141</v>
      </c>
      <c r="G117" s="0" t="s">
        <v>243</v>
      </c>
      <c r="H117" s="6" t="n">
        <f aca="false">'Import-dataset'!M9</f>
        <v>3449</v>
      </c>
    </row>
    <row r="118" customFormat="false" ht="15" hidden="false" customHeight="false" outlineLevel="0" collapsed="false">
      <c r="A118" s="0" t="s">
        <v>231</v>
      </c>
      <c r="B118" s="0" t="n">
        <v>2022</v>
      </c>
      <c r="C118" s="0" t="s">
        <v>339</v>
      </c>
      <c r="D118" s="0" t="s">
        <v>316</v>
      </c>
      <c r="E118" s="0" t="s">
        <v>340</v>
      </c>
      <c r="F118" s="0" t="s">
        <v>141</v>
      </c>
      <c r="G118" s="0" t="s">
        <v>243</v>
      </c>
      <c r="H118" s="6" t="n">
        <f aca="false">'Import-dataset'!M10</f>
        <v>3850</v>
      </c>
    </row>
    <row r="119" customFormat="false" ht="15" hidden="false" customHeight="false" outlineLevel="0" collapsed="false">
      <c r="A119" s="0" t="s">
        <v>231</v>
      </c>
      <c r="B119" s="0" t="n">
        <v>2023</v>
      </c>
      <c r="C119" s="0" t="s">
        <v>339</v>
      </c>
      <c r="D119" s="0" t="s">
        <v>316</v>
      </c>
      <c r="E119" s="0" t="s">
        <v>340</v>
      </c>
      <c r="F119" s="0" t="s">
        <v>141</v>
      </c>
      <c r="G119" s="0" t="s">
        <v>243</v>
      </c>
      <c r="H119" s="6" t="n">
        <f aca="false">'Import-dataset'!M11</f>
        <v>3518</v>
      </c>
    </row>
    <row r="120" customFormat="false" ht="15" hidden="false" customHeight="false" outlineLevel="0" collapsed="false">
      <c r="A120" s="0" t="s">
        <v>231</v>
      </c>
      <c r="B120" s="0" t="n">
        <v>2024</v>
      </c>
      <c r="C120" s="0" t="s">
        <v>339</v>
      </c>
      <c r="D120" s="0" t="s">
        <v>316</v>
      </c>
      <c r="E120" s="0" t="s">
        <v>340</v>
      </c>
      <c r="F120" s="0" t="s">
        <v>141</v>
      </c>
      <c r="G120" s="0" t="s">
        <v>243</v>
      </c>
      <c r="H120" s="6" t="n">
        <f aca="false">'Import-dataset'!M12</f>
        <v>3349</v>
      </c>
    </row>
    <row r="121" customFormat="false" ht="15" hidden="false" customHeight="false" outlineLevel="0" collapsed="false">
      <c r="A121" s="0" t="s">
        <v>231</v>
      </c>
      <c r="B121" s="0" t="n">
        <v>2025</v>
      </c>
      <c r="C121" s="0" t="s">
        <v>339</v>
      </c>
      <c r="D121" s="0" t="s">
        <v>316</v>
      </c>
      <c r="E121" s="0" t="s">
        <v>340</v>
      </c>
      <c r="F121" s="0" t="s">
        <v>141</v>
      </c>
      <c r="G121" s="0" t="s">
        <v>243</v>
      </c>
      <c r="H121" s="6" t="n">
        <f aca="false">'Import-dataset'!M13</f>
        <v>3378</v>
      </c>
    </row>
    <row r="122" customFormat="false" ht="15" hidden="false" customHeight="false" outlineLevel="0" collapsed="false">
      <c r="A122" s="0" t="s">
        <v>231</v>
      </c>
      <c r="B122" s="0" t="n">
        <v>2016</v>
      </c>
      <c r="C122" s="0" t="s">
        <v>341</v>
      </c>
      <c r="D122" s="0" t="s">
        <v>319</v>
      </c>
      <c r="E122" s="0" t="s">
        <v>342</v>
      </c>
      <c r="F122" s="0" t="s">
        <v>141</v>
      </c>
      <c r="G122" s="0" t="s">
        <v>244</v>
      </c>
      <c r="H122" s="6" t="n">
        <f aca="false">'Import-dataset'!N4</f>
        <v>2241</v>
      </c>
    </row>
    <row r="123" customFormat="false" ht="15" hidden="false" customHeight="false" outlineLevel="0" collapsed="false">
      <c r="A123" s="0" t="s">
        <v>231</v>
      </c>
      <c r="B123" s="0" t="n">
        <v>2017</v>
      </c>
      <c r="C123" s="0" t="s">
        <v>341</v>
      </c>
      <c r="D123" s="0" t="s">
        <v>319</v>
      </c>
      <c r="E123" s="0" t="s">
        <v>342</v>
      </c>
      <c r="F123" s="0" t="s">
        <v>141</v>
      </c>
      <c r="G123" s="0" t="s">
        <v>244</v>
      </c>
      <c r="H123" s="6" t="n">
        <f aca="false">'Import-dataset'!N5</f>
        <v>2280</v>
      </c>
    </row>
    <row r="124" customFormat="false" ht="15" hidden="false" customHeight="false" outlineLevel="0" collapsed="false">
      <c r="A124" s="0" t="s">
        <v>231</v>
      </c>
      <c r="B124" s="0" t="n">
        <v>2018</v>
      </c>
      <c r="C124" s="0" t="s">
        <v>341</v>
      </c>
      <c r="D124" s="0" t="s">
        <v>319</v>
      </c>
      <c r="E124" s="0" t="s">
        <v>342</v>
      </c>
      <c r="F124" s="0" t="s">
        <v>141</v>
      </c>
      <c r="G124" s="0" t="s">
        <v>244</v>
      </c>
      <c r="H124" s="6" t="n">
        <f aca="false">'Import-dataset'!N6</f>
        <v>2480</v>
      </c>
    </row>
    <row r="125" customFormat="false" ht="15" hidden="false" customHeight="false" outlineLevel="0" collapsed="false">
      <c r="A125" s="0" t="s">
        <v>231</v>
      </c>
      <c r="B125" s="0" t="n">
        <v>2019</v>
      </c>
      <c r="C125" s="0" t="s">
        <v>341</v>
      </c>
      <c r="D125" s="0" t="s">
        <v>319</v>
      </c>
      <c r="E125" s="0" t="s">
        <v>342</v>
      </c>
      <c r="F125" s="0" t="s">
        <v>141</v>
      </c>
      <c r="G125" s="0" t="s">
        <v>244</v>
      </c>
      <c r="H125" s="6" t="n">
        <f aca="false">'Import-dataset'!N7</f>
        <v>2688</v>
      </c>
    </row>
    <row r="126" customFormat="false" ht="15" hidden="false" customHeight="false" outlineLevel="0" collapsed="false">
      <c r="A126" s="0" t="s">
        <v>231</v>
      </c>
      <c r="B126" s="0" t="n">
        <v>2020</v>
      </c>
      <c r="C126" s="0" t="s">
        <v>341</v>
      </c>
      <c r="D126" s="0" t="s">
        <v>319</v>
      </c>
      <c r="E126" s="0" t="s">
        <v>342</v>
      </c>
      <c r="F126" s="0" t="s">
        <v>141</v>
      </c>
      <c r="G126" s="0" t="s">
        <v>244</v>
      </c>
      <c r="H126" s="6" t="n">
        <f aca="false">'Import-dataset'!N8</f>
        <v>2585</v>
      </c>
    </row>
    <row r="127" customFormat="false" ht="15" hidden="false" customHeight="false" outlineLevel="0" collapsed="false">
      <c r="A127" s="0" t="s">
        <v>231</v>
      </c>
      <c r="B127" s="0" t="n">
        <v>2021</v>
      </c>
      <c r="C127" s="0" t="s">
        <v>341</v>
      </c>
      <c r="D127" s="0" t="s">
        <v>319</v>
      </c>
      <c r="E127" s="0" t="s">
        <v>342</v>
      </c>
      <c r="F127" s="0" t="s">
        <v>141</v>
      </c>
      <c r="G127" s="0" t="s">
        <v>244</v>
      </c>
      <c r="H127" s="6" t="n">
        <f aca="false">'Import-dataset'!N9</f>
        <v>2744</v>
      </c>
    </row>
    <row r="128" customFormat="false" ht="15" hidden="false" customHeight="false" outlineLevel="0" collapsed="false">
      <c r="A128" s="0" t="s">
        <v>231</v>
      </c>
      <c r="B128" s="0" t="n">
        <v>2022</v>
      </c>
      <c r="C128" s="0" t="s">
        <v>341</v>
      </c>
      <c r="D128" s="0" t="s">
        <v>319</v>
      </c>
      <c r="E128" s="0" t="s">
        <v>342</v>
      </c>
      <c r="F128" s="0" t="s">
        <v>141</v>
      </c>
      <c r="G128" s="0" t="s">
        <v>244</v>
      </c>
      <c r="H128" s="6" t="n">
        <f aca="false">'Import-dataset'!N10</f>
        <v>3170</v>
      </c>
    </row>
    <row r="129" customFormat="false" ht="15" hidden="false" customHeight="false" outlineLevel="0" collapsed="false">
      <c r="A129" s="0" t="s">
        <v>231</v>
      </c>
      <c r="B129" s="0" t="n">
        <v>2023</v>
      </c>
      <c r="C129" s="0" t="s">
        <v>341</v>
      </c>
      <c r="D129" s="0" t="s">
        <v>319</v>
      </c>
      <c r="E129" s="0" t="s">
        <v>342</v>
      </c>
      <c r="F129" s="0" t="s">
        <v>141</v>
      </c>
      <c r="G129" s="0" t="s">
        <v>244</v>
      </c>
      <c r="H129" s="6" t="n">
        <f aca="false">'Import-dataset'!N11</f>
        <v>2928</v>
      </c>
    </row>
    <row r="130" customFormat="false" ht="15" hidden="false" customHeight="false" outlineLevel="0" collapsed="false">
      <c r="A130" s="0" t="s">
        <v>231</v>
      </c>
      <c r="B130" s="0" t="n">
        <v>2024</v>
      </c>
      <c r="C130" s="0" t="s">
        <v>341</v>
      </c>
      <c r="D130" s="0" t="s">
        <v>319</v>
      </c>
      <c r="E130" s="0" t="s">
        <v>342</v>
      </c>
      <c r="F130" s="0" t="s">
        <v>141</v>
      </c>
      <c r="G130" s="0" t="s">
        <v>244</v>
      </c>
      <c r="H130" s="6" t="n">
        <f aca="false">'Import-dataset'!N12</f>
        <v>2906</v>
      </c>
    </row>
    <row r="131" customFormat="false" ht="15" hidden="false" customHeight="false" outlineLevel="0" collapsed="false">
      <c r="A131" s="0" t="s">
        <v>231</v>
      </c>
      <c r="B131" s="0" t="n">
        <v>2025</v>
      </c>
      <c r="C131" s="0" t="s">
        <v>341</v>
      </c>
      <c r="D131" s="0" t="s">
        <v>319</v>
      </c>
      <c r="E131" s="0" t="s">
        <v>342</v>
      </c>
      <c r="F131" s="0" t="s">
        <v>141</v>
      </c>
      <c r="G131" s="0" t="s">
        <v>244</v>
      </c>
      <c r="H131" s="6" t="n">
        <f aca="false">'Import-dataset'!N13</f>
        <v>2913</v>
      </c>
    </row>
    <row r="132" customFormat="false" ht="15" hidden="false" customHeight="false" outlineLevel="0" collapsed="false">
      <c r="A132" s="0" t="s">
        <v>231</v>
      </c>
      <c r="B132" s="0" t="n">
        <v>2016</v>
      </c>
      <c r="C132" s="0" t="s">
        <v>343</v>
      </c>
      <c r="D132" s="0" t="s">
        <v>319</v>
      </c>
      <c r="E132" s="0" t="s">
        <v>344</v>
      </c>
      <c r="F132" s="0" t="s">
        <v>141</v>
      </c>
      <c r="G132" s="0" t="s">
        <v>245</v>
      </c>
      <c r="H132" s="6" t="n">
        <f aca="false">'Import-dataset'!O4</f>
        <v>1027</v>
      </c>
    </row>
    <row r="133" customFormat="false" ht="15" hidden="false" customHeight="false" outlineLevel="0" collapsed="false">
      <c r="A133" s="0" t="s">
        <v>231</v>
      </c>
      <c r="B133" s="0" t="n">
        <v>2017</v>
      </c>
      <c r="C133" s="0" t="s">
        <v>343</v>
      </c>
      <c r="D133" s="0" t="s">
        <v>319</v>
      </c>
      <c r="E133" s="0" t="s">
        <v>344</v>
      </c>
      <c r="F133" s="0" t="s">
        <v>141</v>
      </c>
      <c r="G133" s="0" t="s">
        <v>245</v>
      </c>
      <c r="H133" s="6" t="n">
        <f aca="false">'Import-dataset'!O5</f>
        <v>1006</v>
      </c>
    </row>
    <row r="134" customFormat="false" ht="15" hidden="false" customHeight="false" outlineLevel="0" collapsed="false">
      <c r="A134" s="0" t="s">
        <v>231</v>
      </c>
      <c r="B134" s="0" t="n">
        <v>2018</v>
      </c>
      <c r="C134" s="0" t="s">
        <v>343</v>
      </c>
      <c r="D134" s="0" t="s">
        <v>319</v>
      </c>
      <c r="E134" s="0" t="s">
        <v>344</v>
      </c>
      <c r="F134" s="0" t="s">
        <v>141</v>
      </c>
      <c r="G134" s="0" t="s">
        <v>245</v>
      </c>
      <c r="H134" s="6" t="n">
        <f aca="false">'Import-dataset'!O6</f>
        <v>1063</v>
      </c>
    </row>
    <row r="135" customFormat="false" ht="15" hidden="false" customHeight="false" outlineLevel="0" collapsed="false">
      <c r="A135" s="0" t="s">
        <v>231</v>
      </c>
      <c r="B135" s="0" t="n">
        <v>2019</v>
      </c>
      <c r="C135" s="0" t="s">
        <v>343</v>
      </c>
      <c r="D135" s="0" t="s">
        <v>319</v>
      </c>
      <c r="E135" s="0" t="s">
        <v>344</v>
      </c>
      <c r="F135" s="0" t="s">
        <v>141</v>
      </c>
      <c r="G135" s="0" t="s">
        <v>245</v>
      </c>
      <c r="H135" s="6" t="n">
        <f aca="false">'Import-dataset'!O7</f>
        <v>1113</v>
      </c>
    </row>
    <row r="136" customFormat="false" ht="15" hidden="false" customHeight="false" outlineLevel="0" collapsed="false">
      <c r="A136" s="0" t="s">
        <v>231</v>
      </c>
      <c r="B136" s="0" t="n">
        <v>2020</v>
      </c>
      <c r="C136" s="0" t="s">
        <v>343</v>
      </c>
      <c r="D136" s="0" t="s">
        <v>319</v>
      </c>
      <c r="E136" s="0" t="s">
        <v>344</v>
      </c>
      <c r="F136" s="0" t="s">
        <v>141</v>
      </c>
      <c r="G136" s="0" t="s">
        <v>245</v>
      </c>
      <c r="H136" s="6" t="n">
        <f aca="false">'Import-dataset'!O8</f>
        <v>891</v>
      </c>
    </row>
    <row r="137" customFormat="false" ht="15" hidden="false" customHeight="false" outlineLevel="0" collapsed="false">
      <c r="A137" s="0" t="s">
        <v>231</v>
      </c>
      <c r="B137" s="0" t="n">
        <v>2021</v>
      </c>
      <c r="C137" s="0" t="s">
        <v>343</v>
      </c>
      <c r="D137" s="0" t="s">
        <v>319</v>
      </c>
      <c r="E137" s="0" t="s">
        <v>344</v>
      </c>
      <c r="F137" s="0" t="s">
        <v>141</v>
      </c>
      <c r="G137" s="0" t="s">
        <v>245</v>
      </c>
      <c r="H137" s="6" t="n">
        <f aca="false">'Import-dataset'!O9</f>
        <v>704</v>
      </c>
    </row>
    <row r="138" customFormat="false" ht="15" hidden="false" customHeight="false" outlineLevel="0" collapsed="false">
      <c r="A138" s="0" t="s">
        <v>231</v>
      </c>
      <c r="B138" s="0" t="n">
        <v>2022</v>
      </c>
      <c r="C138" s="0" t="s">
        <v>343</v>
      </c>
      <c r="D138" s="0" t="s">
        <v>319</v>
      </c>
      <c r="E138" s="0" t="s">
        <v>344</v>
      </c>
      <c r="F138" s="0" t="s">
        <v>141</v>
      </c>
      <c r="G138" s="0" t="s">
        <v>245</v>
      </c>
      <c r="H138" s="6" t="n">
        <f aca="false">'Import-dataset'!O10</f>
        <v>682</v>
      </c>
    </row>
    <row r="139" customFormat="false" ht="15" hidden="false" customHeight="false" outlineLevel="0" collapsed="false">
      <c r="A139" s="0" t="s">
        <v>231</v>
      </c>
      <c r="B139" s="0" t="n">
        <v>2023</v>
      </c>
      <c r="C139" s="0" t="s">
        <v>343</v>
      </c>
      <c r="D139" s="0" t="s">
        <v>319</v>
      </c>
      <c r="E139" s="0" t="s">
        <v>344</v>
      </c>
      <c r="F139" s="0" t="s">
        <v>141</v>
      </c>
      <c r="G139" s="0" t="s">
        <v>245</v>
      </c>
      <c r="H139" s="6" t="n">
        <f aca="false">'Import-dataset'!O11</f>
        <v>588</v>
      </c>
    </row>
    <row r="140" customFormat="false" ht="15" hidden="false" customHeight="false" outlineLevel="0" collapsed="false">
      <c r="A140" s="0" t="s">
        <v>231</v>
      </c>
      <c r="B140" s="0" t="n">
        <v>2024</v>
      </c>
      <c r="C140" s="0" t="s">
        <v>343</v>
      </c>
      <c r="D140" s="0" t="s">
        <v>319</v>
      </c>
      <c r="E140" s="0" t="s">
        <v>344</v>
      </c>
      <c r="F140" s="0" t="s">
        <v>141</v>
      </c>
      <c r="G140" s="0" t="s">
        <v>245</v>
      </c>
      <c r="H140" s="6" t="n">
        <f aca="false">'Import-dataset'!O12</f>
        <v>441</v>
      </c>
    </row>
    <row r="141" customFormat="false" ht="15" hidden="false" customHeight="false" outlineLevel="0" collapsed="false">
      <c r="A141" s="0" t="s">
        <v>231</v>
      </c>
      <c r="B141" s="0" t="n">
        <v>2025</v>
      </c>
      <c r="C141" s="0" t="s">
        <v>343</v>
      </c>
      <c r="D141" s="0" t="s">
        <v>319</v>
      </c>
      <c r="E141" s="0" t="s">
        <v>344</v>
      </c>
      <c r="F141" s="0" t="s">
        <v>141</v>
      </c>
      <c r="G141" s="0" t="s">
        <v>245</v>
      </c>
      <c r="H141" s="6" t="n">
        <f aca="false">'Import-dataset'!O13</f>
        <v>463</v>
      </c>
    </row>
    <row r="142" customFormat="false" ht="15" hidden="false" customHeight="false" outlineLevel="0" collapsed="false">
      <c r="A142" s="0" t="s">
        <v>231</v>
      </c>
      <c r="B142" s="0" t="n">
        <v>2016</v>
      </c>
      <c r="C142" s="0" t="s">
        <v>345</v>
      </c>
      <c r="D142" s="0" t="s">
        <v>316</v>
      </c>
      <c r="E142" s="0" t="s">
        <v>346</v>
      </c>
      <c r="F142" s="0" t="s">
        <v>141</v>
      </c>
      <c r="G142" s="0" t="s">
        <v>246</v>
      </c>
      <c r="H142" s="6" t="n">
        <f aca="false">'Import-dataset'!P4</f>
        <v>3206</v>
      </c>
    </row>
    <row r="143" customFormat="false" ht="15" hidden="false" customHeight="false" outlineLevel="0" collapsed="false">
      <c r="A143" s="0" t="s">
        <v>231</v>
      </c>
      <c r="B143" s="0" t="n">
        <v>2017</v>
      </c>
      <c r="C143" s="0" t="s">
        <v>345</v>
      </c>
      <c r="D143" s="0" t="s">
        <v>316</v>
      </c>
      <c r="E143" s="0" t="s">
        <v>346</v>
      </c>
      <c r="F143" s="0" t="s">
        <v>141</v>
      </c>
      <c r="G143" s="0" t="s">
        <v>246</v>
      </c>
      <c r="H143" s="6" t="n">
        <f aca="false">'Import-dataset'!P5</f>
        <v>3544</v>
      </c>
    </row>
    <row r="144" customFormat="false" ht="15" hidden="false" customHeight="false" outlineLevel="0" collapsed="false">
      <c r="A144" s="0" t="s">
        <v>231</v>
      </c>
      <c r="B144" s="0" t="n">
        <v>2018</v>
      </c>
      <c r="C144" s="0" t="s">
        <v>345</v>
      </c>
      <c r="D144" s="0" t="s">
        <v>316</v>
      </c>
      <c r="E144" s="0" t="s">
        <v>346</v>
      </c>
      <c r="F144" s="0" t="s">
        <v>141</v>
      </c>
      <c r="G144" s="0" t="s">
        <v>246</v>
      </c>
      <c r="H144" s="6" t="n">
        <f aca="false">'Import-dataset'!P6</f>
        <v>3985</v>
      </c>
    </row>
    <row r="145" customFormat="false" ht="15" hidden="false" customHeight="false" outlineLevel="0" collapsed="false">
      <c r="A145" s="0" t="s">
        <v>231</v>
      </c>
      <c r="B145" s="0" t="n">
        <v>2019</v>
      </c>
      <c r="C145" s="0" t="s">
        <v>345</v>
      </c>
      <c r="D145" s="0" t="s">
        <v>316</v>
      </c>
      <c r="E145" s="0" t="s">
        <v>346</v>
      </c>
      <c r="F145" s="0" t="s">
        <v>141</v>
      </c>
      <c r="G145" s="0" t="s">
        <v>246</v>
      </c>
      <c r="H145" s="6" t="n">
        <f aca="false">'Import-dataset'!P7</f>
        <v>3138</v>
      </c>
    </row>
    <row r="146" customFormat="false" ht="15" hidden="false" customHeight="false" outlineLevel="0" collapsed="false">
      <c r="A146" s="0" t="s">
        <v>231</v>
      </c>
      <c r="B146" s="0" t="n">
        <v>2020</v>
      </c>
      <c r="C146" s="0" t="s">
        <v>345</v>
      </c>
      <c r="D146" s="0" t="s">
        <v>316</v>
      </c>
      <c r="E146" s="0" t="s">
        <v>346</v>
      </c>
      <c r="F146" s="0" t="s">
        <v>141</v>
      </c>
      <c r="G146" s="0" t="s">
        <v>246</v>
      </c>
      <c r="H146" s="6" t="n">
        <f aca="false">'Import-dataset'!P8</f>
        <v>3257</v>
      </c>
    </row>
    <row r="147" customFormat="false" ht="15" hidden="false" customHeight="false" outlineLevel="0" collapsed="false">
      <c r="A147" s="0" t="s">
        <v>231</v>
      </c>
      <c r="B147" s="0" t="n">
        <v>2021</v>
      </c>
      <c r="C147" s="0" t="s">
        <v>345</v>
      </c>
      <c r="D147" s="0" t="s">
        <v>316</v>
      </c>
      <c r="E147" s="0" t="s">
        <v>346</v>
      </c>
      <c r="F147" s="0" t="s">
        <v>141</v>
      </c>
      <c r="G147" s="0" t="s">
        <v>246</v>
      </c>
      <c r="H147" s="6" t="n">
        <f aca="false">'Import-dataset'!P9</f>
        <v>4247</v>
      </c>
    </row>
    <row r="148" customFormat="false" ht="15" hidden="false" customHeight="false" outlineLevel="0" collapsed="false">
      <c r="A148" s="0" t="s">
        <v>231</v>
      </c>
      <c r="B148" s="0" t="n">
        <v>2022</v>
      </c>
      <c r="C148" s="0" t="s">
        <v>345</v>
      </c>
      <c r="D148" s="0" t="s">
        <v>316</v>
      </c>
      <c r="E148" s="0" t="s">
        <v>346</v>
      </c>
      <c r="F148" s="0" t="s">
        <v>141</v>
      </c>
      <c r="G148" s="0" t="s">
        <v>246</v>
      </c>
      <c r="H148" s="6" t="n">
        <f aca="false">'Import-dataset'!P10</f>
        <v>4653</v>
      </c>
    </row>
    <row r="149" customFormat="false" ht="15" hidden="false" customHeight="false" outlineLevel="0" collapsed="false">
      <c r="A149" s="0" t="s">
        <v>231</v>
      </c>
      <c r="B149" s="0" t="n">
        <v>2023</v>
      </c>
      <c r="C149" s="0" t="s">
        <v>345</v>
      </c>
      <c r="D149" s="0" t="s">
        <v>316</v>
      </c>
      <c r="E149" s="0" t="s">
        <v>346</v>
      </c>
      <c r="F149" s="0" t="s">
        <v>141</v>
      </c>
      <c r="G149" s="0" t="s">
        <v>246</v>
      </c>
      <c r="H149" s="6" t="n">
        <f aca="false">'Import-dataset'!P11</f>
        <v>3931</v>
      </c>
    </row>
    <row r="150" customFormat="false" ht="15" hidden="false" customHeight="false" outlineLevel="0" collapsed="false">
      <c r="A150" s="0" t="s">
        <v>231</v>
      </c>
      <c r="B150" s="0" t="n">
        <v>2024</v>
      </c>
      <c r="C150" s="0" t="s">
        <v>345</v>
      </c>
      <c r="D150" s="0" t="s">
        <v>316</v>
      </c>
      <c r="E150" s="0" t="s">
        <v>346</v>
      </c>
      <c r="F150" s="0" t="s">
        <v>141</v>
      </c>
      <c r="G150" s="0" t="s">
        <v>246</v>
      </c>
      <c r="H150" s="6" t="n">
        <f aca="false">'Import-dataset'!P12</f>
        <v>4119</v>
      </c>
    </row>
    <row r="151" customFormat="false" ht="15" hidden="false" customHeight="false" outlineLevel="0" collapsed="false">
      <c r="A151" s="0" t="s">
        <v>231</v>
      </c>
      <c r="B151" s="0" t="n">
        <v>2025</v>
      </c>
      <c r="C151" s="0" t="s">
        <v>345</v>
      </c>
      <c r="D151" s="0" t="s">
        <v>316</v>
      </c>
      <c r="E151" s="0" t="s">
        <v>346</v>
      </c>
      <c r="F151" s="0" t="s">
        <v>141</v>
      </c>
      <c r="G151" s="0" t="s">
        <v>246</v>
      </c>
      <c r="H151" s="6" t="n">
        <f aca="false">'Import-dataset'!P13</f>
        <v>5285</v>
      </c>
    </row>
    <row r="152" customFormat="false" ht="15" hidden="false" customHeight="false" outlineLevel="0" collapsed="false">
      <c r="A152" s="0" t="s">
        <v>231</v>
      </c>
      <c r="B152" s="0" t="n">
        <v>2016</v>
      </c>
      <c r="C152" s="0" t="s">
        <v>347</v>
      </c>
      <c r="D152" s="0" t="s">
        <v>319</v>
      </c>
      <c r="E152" s="0" t="s">
        <v>348</v>
      </c>
      <c r="F152" s="0" t="s">
        <v>141</v>
      </c>
      <c r="G152" s="0" t="s">
        <v>247</v>
      </c>
      <c r="H152" s="6" t="n">
        <f aca="false">'Import-dataset'!Q4</f>
        <v>5</v>
      </c>
    </row>
    <row r="153" customFormat="false" ht="15" hidden="false" customHeight="false" outlineLevel="0" collapsed="false">
      <c r="A153" s="0" t="s">
        <v>231</v>
      </c>
      <c r="B153" s="0" t="n">
        <v>2017</v>
      </c>
      <c r="C153" s="0" t="s">
        <v>347</v>
      </c>
      <c r="D153" s="0" t="s">
        <v>319</v>
      </c>
      <c r="E153" s="0" t="s">
        <v>348</v>
      </c>
      <c r="F153" s="0" t="s">
        <v>141</v>
      </c>
      <c r="G153" s="0" t="s">
        <v>247</v>
      </c>
      <c r="H153" s="6" t="n">
        <f aca="false">'Import-dataset'!Q5</f>
        <v>3</v>
      </c>
    </row>
    <row r="154" customFormat="false" ht="15" hidden="false" customHeight="false" outlineLevel="0" collapsed="false">
      <c r="A154" s="0" t="s">
        <v>231</v>
      </c>
      <c r="B154" s="0" t="n">
        <v>2018</v>
      </c>
      <c r="C154" s="0" t="s">
        <v>347</v>
      </c>
      <c r="D154" s="0" t="s">
        <v>319</v>
      </c>
      <c r="E154" s="0" t="s">
        <v>348</v>
      </c>
      <c r="F154" s="0" t="s">
        <v>141</v>
      </c>
      <c r="G154" s="0" t="s">
        <v>247</v>
      </c>
      <c r="H154" s="6" t="n">
        <f aca="false">'Import-dataset'!Q6</f>
        <v>2</v>
      </c>
    </row>
    <row r="155" customFormat="false" ht="15" hidden="false" customHeight="false" outlineLevel="0" collapsed="false">
      <c r="A155" s="0" t="s">
        <v>231</v>
      </c>
      <c r="B155" s="0" t="n">
        <v>2019</v>
      </c>
      <c r="C155" s="0" t="s">
        <v>347</v>
      </c>
      <c r="D155" s="0" t="s">
        <v>319</v>
      </c>
      <c r="E155" s="0" t="s">
        <v>348</v>
      </c>
      <c r="F155" s="0" t="s">
        <v>141</v>
      </c>
      <c r="G155" s="0" t="s">
        <v>247</v>
      </c>
      <c r="H155" s="6" t="n">
        <f aca="false">'Import-dataset'!Q7</f>
        <v>7</v>
      </c>
    </row>
    <row r="156" customFormat="false" ht="15" hidden="false" customHeight="false" outlineLevel="0" collapsed="false">
      <c r="A156" s="0" t="s">
        <v>231</v>
      </c>
      <c r="B156" s="0" t="n">
        <v>2020</v>
      </c>
      <c r="C156" s="0" t="s">
        <v>347</v>
      </c>
      <c r="D156" s="0" t="s">
        <v>319</v>
      </c>
      <c r="E156" s="0" t="s">
        <v>348</v>
      </c>
      <c r="F156" s="0" t="s">
        <v>141</v>
      </c>
      <c r="G156" s="0" t="s">
        <v>247</v>
      </c>
      <c r="H156" s="6" t="n">
        <f aca="false">'Import-dataset'!Q8</f>
        <v>7</v>
      </c>
    </row>
    <row r="157" customFormat="false" ht="15" hidden="false" customHeight="false" outlineLevel="0" collapsed="false">
      <c r="A157" s="0" t="s">
        <v>231</v>
      </c>
      <c r="B157" s="0" t="n">
        <v>2021</v>
      </c>
      <c r="C157" s="0" t="s">
        <v>347</v>
      </c>
      <c r="D157" s="0" t="s">
        <v>319</v>
      </c>
      <c r="E157" s="0" t="s">
        <v>348</v>
      </c>
      <c r="F157" s="0" t="s">
        <v>141</v>
      </c>
      <c r="G157" s="0" t="s">
        <v>247</v>
      </c>
      <c r="H157" s="6" t="n">
        <f aca="false">'Import-dataset'!Q9</f>
        <v>2</v>
      </c>
    </row>
    <row r="158" customFormat="false" ht="15" hidden="false" customHeight="false" outlineLevel="0" collapsed="false">
      <c r="A158" s="0" t="s">
        <v>231</v>
      </c>
      <c r="B158" s="0" t="n">
        <v>2022</v>
      </c>
      <c r="C158" s="0" t="s">
        <v>347</v>
      </c>
      <c r="D158" s="0" t="s">
        <v>319</v>
      </c>
      <c r="E158" s="0" t="s">
        <v>348</v>
      </c>
      <c r="F158" s="0" t="s">
        <v>141</v>
      </c>
      <c r="G158" s="0" t="s">
        <v>247</v>
      </c>
      <c r="H158" s="6" t="n">
        <f aca="false">'Import-dataset'!Q10</f>
        <v>4</v>
      </c>
    </row>
    <row r="159" customFormat="false" ht="15" hidden="false" customHeight="false" outlineLevel="0" collapsed="false">
      <c r="A159" s="0" t="s">
        <v>231</v>
      </c>
      <c r="B159" s="0" t="n">
        <v>2023</v>
      </c>
      <c r="C159" s="0" t="s">
        <v>347</v>
      </c>
      <c r="D159" s="0" t="s">
        <v>319</v>
      </c>
      <c r="E159" s="0" t="s">
        <v>348</v>
      </c>
      <c r="F159" s="0" t="s">
        <v>141</v>
      </c>
      <c r="G159" s="0" t="s">
        <v>247</v>
      </c>
      <c r="H159" s="6" t="n">
        <f aca="false">'Import-dataset'!Q11</f>
        <v>2</v>
      </c>
    </row>
    <row r="160" customFormat="false" ht="15" hidden="false" customHeight="false" outlineLevel="0" collapsed="false">
      <c r="A160" s="0" t="s">
        <v>231</v>
      </c>
      <c r="B160" s="0" t="n">
        <v>2024</v>
      </c>
      <c r="C160" s="0" t="s">
        <v>347</v>
      </c>
      <c r="D160" s="0" t="s">
        <v>319</v>
      </c>
      <c r="E160" s="0" t="s">
        <v>348</v>
      </c>
      <c r="F160" s="0" t="s">
        <v>141</v>
      </c>
      <c r="G160" s="0" t="s">
        <v>247</v>
      </c>
      <c r="H160" s="6" t="n">
        <f aca="false">'Import-dataset'!Q12</f>
        <v>6</v>
      </c>
    </row>
    <row r="161" customFormat="false" ht="15" hidden="false" customHeight="false" outlineLevel="0" collapsed="false">
      <c r="A161" s="0" t="s">
        <v>231</v>
      </c>
      <c r="B161" s="0" t="n">
        <v>2025</v>
      </c>
      <c r="C161" s="0" t="s">
        <v>347</v>
      </c>
      <c r="D161" s="0" t="s">
        <v>319</v>
      </c>
      <c r="E161" s="0" t="s">
        <v>348</v>
      </c>
      <c r="F161" s="0" t="s">
        <v>141</v>
      </c>
      <c r="G161" s="0" t="s">
        <v>247</v>
      </c>
      <c r="H161" s="6" t="n">
        <f aca="false">'Import-dataset'!Q13</f>
        <v>7</v>
      </c>
    </row>
    <row r="162" customFormat="false" ht="15" hidden="false" customHeight="false" outlineLevel="0" collapsed="false">
      <c r="A162" s="0" t="s">
        <v>231</v>
      </c>
      <c r="B162" s="0" t="n">
        <v>2016</v>
      </c>
      <c r="C162" s="0" t="s">
        <v>349</v>
      </c>
      <c r="D162" s="0" t="s">
        <v>319</v>
      </c>
      <c r="E162" s="0" t="s">
        <v>350</v>
      </c>
      <c r="F162" s="0" t="s">
        <v>141</v>
      </c>
      <c r="G162" s="0" t="s">
        <v>248</v>
      </c>
      <c r="H162" s="6" t="n">
        <f aca="false">'Import-dataset'!R4</f>
        <v>88</v>
      </c>
    </row>
    <row r="163" customFormat="false" ht="15" hidden="false" customHeight="false" outlineLevel="0" collapsed="false">
      <c r="A163" s="0" t="s">
        <v>231</v>
      </c>
      <c r="B163" s="0" t="n">
        <v>2017</v>
      </c>
      <c r="C163" s="0" t="s">
        <v>349</v>
      </c>
      <c r="D163" s="0" t="s">
        <v>319</v>
      </c>
      <c r="E163" s="0" t="s">
        <v>350</v>
      </c>
      <c r="F163" s="0" t="s">
        <v>141</v>
      </c>
      <c r="G163" s="0" t="s">
        <v>248</v>
      </c>
      <c r="H163" s="6" t="n">
        <f aca="false">'Import-dataset'!R5</f>
        <v>111</v>
      </c>
    </row>
    <row r="164" customFormat="false" ht="15" hidden="false" customHeight="false" outlineLevel="0" collapsed="false">
      <c r="A164" s="0" t="s">
        <v>231</v>
      </c>
      <c r="B164" s="0" t="n">
        <v>2018</v>
      </c>
      <c r="C164" s="0" t="s">
        <v>349</v>
      </c>
      <c r="D164" s="0" t="s">
        <v>319</v>
      </c>
      <c r="E164" s="0" t="s">
        <v>350</v>
      </c>
      <c r="F164" s="0" t="s">
        <v>141</v>
      </c>
      <c r="G164" s="0" t="s">
        <v>248</v>
      </c>
      <c r="H164" s="6" t="n">
        <f aca="false">'Import-dataset'!R6</f>
        <v>115</v>
      </c>
    </row>
    <row r="165" customFormat="false" ht="15" hidden="false" customHeight="false" outlineLevel="0" collapsed="false">
      <c r="A165" s="0" t="s">
        <v>231</v>
      </c>
      <c r="B165" s="0" t="n">
        <v>2019</v>
      </c>
      <c r="C165" s="0" t="s">
        <v>349</v>
      </c>
      <c r="D165" s="0" t="s">
        <v>319</v>
      </c>
      <c r="E165" s="0" t="s">
        <v>350</v>
      </c>
      <c r="F165" s="0" t="s">
        <v>141</v>
      </c>
      <c r="G165" s="0" t="s">
        <v>248</v>
      </c>
      <c r="H165" s="6" t="n">
        <f aca="false">'Import-dataset'!R7</f>
        <v>127</v>
      </c>
    </row>
    <row r="166" customFormat="false" ht="15" hidden="false" customHeight="false" outlineLevel="0" collapsed="false">
      <c r="A166" s="0" t="s">
        <v>231</v>
      </c>
      <c r="B166" s="0" t="n">
        <v>2020</v>
      </c>
      <c r="C166" s="0" t="s">
        <v>349</v>
      </c>
      <c r="D166" s="0" t="s">
        <v>319</v>
      </c>
      <c r="E166" s="0" t="s">
        <v>350</v>
      </c>
      <c r="F166" s="0" t="s">
        <v>141</v>
      </c>
      <c r="G166" s="0" t="s">
        <v>248</v>
      </c>
      <c r="H166" s="6" t="n">
        <f aca="false">'Import-dataset'!R8</f>
        <v>141</v>
      </c>
    </row>
    <row r="167" customFormat="false" ht="15" hidden="false" customHeight="false" outlineLevel="0" collapsed="false">
      <c r="A167" s="0" t="s">
        <v>231</v>
      </c>
      <c r="B167" s="0" t="n">
        <v>2021</v>
      </c>
      <c r="C167" s="0" t="s">
        <v>349</v>
      </c>
      <c r="D167" s="0" t="s">
        <v>319</v>
      </c>
      <c r="E167" s="0" t="s">
        <v>350</v>
      </c>
      <c r="F167" s="0" t="s">
        <v>141</v>
      </c>
      <c r="G167" s="0" t="s">
        <v>248</v>
      </c>
      <c r="H167" s="6" t="n">
        <f aca="false">'Import-dataset'!R9</f>
        <v>102</v>
      </c>
    </row>
    <row r="168" customFormat="false" ht="15" hidden="false" customHeight="false" outlineLevel="0" collapsed="false">
      <c r="A168" s="0" t="s">
        <v>231</v>
      </c>
      <c r="B168" s="0" t="n">
        <v>2022</v>
      </c>
      <c r="C168" s="0" t="s">
        <v>349</v>
      </c>
      <c r="D168" s="0" t="s">
        <v>319</v>
      </c>
      <c r="E168" s="0" t="s">
        <v>350</v>
      </c>
      <c r="F168" s="0" t="s">
        <v>141</v>
      </c>
      <c r="G168" s="0" t="s">
        <v>248</v>
      </c>
      <c r="H168" s="6" t="n">
        <f aca="false">'Import-dataset'!R10</f>
        <v>135</v>
      </c>
    </row>
    <row r="169" customFormat="false" ht="15" hidden="false" customHeight="false" outlineLevel="0" collapsed="false">
      <c r="A169" s="0" t="s">
        <v>231</v>
      </c>
      <c r="B169" s="0" t="n">
        <v>2023</v>
      </c>
      <c r="C169" s="0" t="s">
        <v>349</v>
      </c>
      <c r="D169" s="0" t="s">
        <v>319</v>
      </c>
      <c r="E169" s="0" t="s">
        <v>350</v>
      </c>
      <c r="F169" s="0" t="s">
        <v>141</v>
      </c>
      <c r="G169" s="0" t="s">
        <v>248</v>
      </c>
      <c r="H169" s="6" t="n">
        <f aca="false">'Import-dataset'!R11</f>
        <v>120</v>
      </c>
    </row>
    <row r="170" customFormat="false" ht="15" hidden="false" customHeight="false" outlineLevel="0" collapsed="false">
      <c r="A170" s="0" t="s">
        <v>231</v>
      </c>
      <c r="B170" s="0" t="n">
        <v>2024</v>
      </c>
      <c r="C170" s="0" t="s">
        <v>349</v>
      </c>
      <c r="D170" s="0" t="s">
        <v>319</v>
      </c>
      <c r="E170" s="0" t="s">
        <v>350</v>
      </c>
      <c r="F170" s="0" t="s">
        <v>141</v>
      </c>
      <c r="G170" s="0" t="s">
        <v>248</v>
      </c>
      <c r="H170" s="6" t="n">
        <f aca="false">'Import-dataset'!R12</f>
        <v>151</v>
      </c>
    </row>
    <row r="171" customFormat="false" ht="15" hidden="false" customHeight="false" outlineLevel="0" collapsed="false">
      <c r="A171" s="0" t="s">
        <v>231</v>
      </c>
      <c r="B171" s="0" t="n">
        <v>2025</v>
      </c>
      <c r="C171" s="0" t="s">
        <v>349</v>
      </c>
      <c r="D171" s="0" t="s">
        <v>319</v>
      </c>
      <c r="E171" s="0" t="s">
        <v>350</v>
      </c>
      <c r="F171" s="0" t="s">
        <v>141</v>
      </c>
      <c r="G171" s="0" t="s">
        <v>248</v>
      </c>
      <c r="H171" s="6" t="n">
        <f aca="false">'Import-dataset'!R13</f>
        <v>145</v>
      </c>
    </row>
    <row r="172" customFormat="false" ht="15" hidden="false" customHeight="false" outlineLevel="0" collapsed="false">
      <c r="A172" s="0" t="s">
        <v>231</v>
      </c>
      <c r="B172" s="0" t="n">
        <v>2016</v>
      </c>
      <c r="C172" s="0" t="s">
        <v>351</v>
      </c>
      <c r="D172" s="0" t="s">
        <v>319</v>
      </c>
      <c r="E172" s="0" t="s">
        <v>352</v>
      </c>
      <c r="F172" s="0" t="s">
        <v>141</v>
      </c>
      <c r="G172" s="0" t="s">
        <v>249</v>
      </c>
      <c r="H172" s="6" t="n">
        <f aca="false">'Import-dataset'!S4</f>
        <v>102</v>
      </c>
    </row>
    <row r="173" customFormat="false" ht="15" hidden="false" customHeight="false" outlineLevel="0" collapsed="false">
      <c r="A173" s="0" t="s">
        <v>231</v>
      </c>
      <c r="B173" s="0" t="n">
        <v>2017</v>
      </c>
      <c r="C173" s="0" t="s">
        <v>351</v>
      </c>
      <c r="D173" s="0" t="s">
        <v>319</v>
      </c>
      <c r="E173" s="0" t="s">
        <v>352</v>
      </c>
      <c r="F173" s="0" t="s">
        <v>141</v>
      </c>
      <c r="G173" s="0" t="s">
        <v>249</v>
      </c>
      <c r="H173" s="6" t="n">
        <f aca="false">'Import-dataset'!S5</f>
        <v>165</v>
      </c>
    </row>
    <row r="174" customFormat="false" ht="15" hidden="false" customHeight="false" outlineLevel="0" collapsed="false">
      <c r="A174" s="0" t="s">
        <v>231</v>
      </c>
      <c r="B174" s="0" t="n">
        <v>2018</v>
      </c>
      <c r="C174" s="0" t="s">
        <v>351</v>
      </c>
      <c r="D174" s="0" t="s">
        <v>319</v>
      </c>
      <c r="E174" s="0" t="s">
        <v>352</v>
      </c>
      <c r="F174" s="0" t="s">
        <v>141</v>
      </c>
      <c r="G174" s="0" t="s">
        <v>249</v>
      </c>
      <c r="H174" s="6" t="n">
        <f aca="false">'Import-dataset'!S6</f>
        <v>160</v>
      </c>
    </row>
    <row r="175" customFormat="false" ht="15" hidden="false" customHeight="false" outlineLevel="0" collapsed="false">
      <c r="A175" s="0" t="s">
        <v>231</v>
      </c>
      <c r="B175" s="0" t="n">
        <v>2019</v>
      </c>
      <c r="C175" s="0" t="s">
        <v>351</v>
      </c>
      <c r="D175" s="0" t="s">
        <v>319</v>
      </c>
      <c r="E175" s="0" t="s">
        <v>352</v>
      </c>
      <c r="F175" s="0" t="s">
        <v>141</v>
      </c>
      <c r="G175" s="0" t="s">
        <v>249</v>
      </c>
      <c r="H175" s="6" t="n">
        <f aca="false">'Import-dataset'!S7</f>
        <v>147</v>
      </c>
    </row>
    <row r="176" customFormat="false" ht="15" hidden="false" customHeight="false" outlineLevel="0" collapsed="false">
      <c r="A176" s="0" t="s">
        <v>231</v>
      </c>
      <c r="B176" s="0" t="n">
        <v>2020</v>
      </c>
      <c r="C176" s="0" t="s">
        <v>351</v>
      </c>
      <c r="D176" s="0" t="s">
        <v>319</v>
      </c>
      <c r="E176" s="0" t="s">
        <v>352</v>
      </c>
      <c r="F176" s="0" t="s">
        <v>141</v>
      </c>
      <c r="G176" s="0" t="s">
        <v>249</v>
      </c>
      <c r="H176" s="6" t="n">
        <f aca="false">'Import-dataset'!S8</f>
        <v>122</v>
      </c>
    </row>
    <row r="177" customFormat="false" ht="15" hidden="false" customHeight="false" outlineLevel="0" collapsed="false">
      <c r="A177" s="0" t="s">
        <v>231</v>
      </c>
      <c r="B177" s="0" t="n">
        <v>2021</v>
      </c>
      <c r="C177" s="0" t="s">
        <v>351</v>
      </c>
      <c r="D177" s="0" t="s">
        <v>319</v>
      </c>
      <c r="E177" s="0" t="s">
        <v>352</v>
      </c>
      <c r="F177" s="0" t="s">
        <v>141</v>
      </c>
      <c r="G177" s="0" t="s">
        <v>249</v>
      </c>
      <c r="H177" s="6" t="n">
        <f aca="false">'Import-dataset'!S9</f>
        <v>134</v>
      </c>
    </row>
    <row r="178" customFormat="false" ht="15" hidden="false" customHeight="false" outlineLevel="0" collapsed="false">
      <c r="A178" s="0" t="s">
        <v>231</v>
      </c>
      <c r="B178" s="0" t="n">
        <v>2022</v>
      </c>
      <c r="C178" s="0" t="s">
        <v>351</v>
      </c>
      <c r="D178" s="0" t="s">
        <v>319</v>
      </c>
      <c r="E178" s="0" t="s">
        <v>352</v>
      </c>
      <c r="F178" s="0" t="s">
        <v>141</v>
      </c>
      <c r="G178" s="0" t="s">
        <v>249</v>
      </c>
      <c r="H178" s="6" t="n">
        <f aca="false">'Import-dataset'!S10</f>
        <v>148</v>
      </c>
    </row>
    <row r="179" customFormat="false" ht="15" hidden="false" customHeight="false" outlineLevel="0" collapsed="false">
      <c r="A179" s="0" t="s">
        <v>231</v>
      </c>
      <c r="B179" s="0" t="n">
        <v>2023</v>
      </c>
      <c r="C179" s="0" t="s">
        <v>351</v>
      </c>
      <c r="D179" s="0" t="s">
        <v>319</v>
      </c>
      <c r="E179" s="0" t="s">
        <v>352</v>
      </c>
      <c r="F179" s="0" t="s">
        <v>141</v>
      </c>
      <c r="G179" s="0" t="s">
        <v>249</v>
      </c>
      <c r="H179" s="6" t="n">
        <f aca="false">'Import-dataset'!S11</f>
        <v>130</v>
      </c>
    </row>
    <row r="180" customFormat="false" ht="15" hidden="false" customHeight="false" outlineLevel="0" collapsed="false">
      <c r="A180" s="0" t="s">
        <v>231</v>
      </c>
      <c r="B180" s="0" t="n">
        <v>2024</v>
      </c>
      <c r="C180" s="0" t="s">
        <v>351</v>
      </c>
      <c r="D180" s="0" t="s">
        <v>319</v>
      </c>
      <c r="E180" s="0" t="s">
        <v>352</v>
      </c>
      <c r="F180" s="0" t="s">
        <v>141</v>
      </c>
      <c r="G180" s="0" t="s">
        <v>249</v>
      </c>
      <c r="H180" s="6" t="n">
        <f aca="false">'Import-dataset'!S12</f>
        <v>141</v>
      </c>
    </row>
    <row r="181" customFormat="false" ht="15" hidden="false" customHeight="false" outlineLevel="0" collapsed="false">
      <c r="A181" s="0" t="s">
        <v>231</v>
      </c>
      <c r="B181" s="0" t="n">
        <v>2025</v>
      </c>
      <c r="C181" s="0" t="s">
        <v>351</v>
      </c>
      <c r="D181" s="0" t="s">
        <v>319</v>
      </c>
      <c r="E181" s="0" t="s">
        <v>352</v>
      </c>
      <c r="F181" s="0" t="s">
        <v>141</v>
      </c>
      <c r="G181" s="0" t="s">
        <v>249</v>
      </c>
      <c r="H181" s="6" t="n">
        <f aca="false">'Import-dataset'!S13</f>
        <v>142</v>
      </c>
    </row>
    <row r="182" customFormat="false" ht="15" hidden="false" customHeight="false" outlineLevel="0" collapsed="false">
      <c r="A182" s="0" t="s">
        <v>231</v>
      </c>
      <c r="B182" s="0" t="n">
        <v>2016</v>
      </c>
      <c r="C182" s="0" t="s">
        <v>353</v>
      </c>
      <c r="D182" s="0" t="s">
        <v>319</v>
      </c>
      <c r="E182" s="0" t="s">
        <v>354</v>
      </c>
      <c r="F182" s="0" t="s">
        <v>141</v>
      </c>
      <c r="G182" s="0" t="s">
        <v>250</v>
      </c>
      <c r="H182" s="6" t="n">
        <f aca="false">'Import-dataset'!T4</f>
        <v>816</v>
      </c>
    </row>
    <row r="183" customFormat="false" ht="15" hidden="false" customHeight="false" outlineLevel="0" collapsed="false">
      <c r="A183" s="0" t="s">
        <v>231</v>
      </c>
      <c r="B183" s="0" t="n">
        <v>2017</v>
      </c>
      <c r="C183" s="0" t="s">
        <v>353</v>
      </c>
      <c r="D183" s="0" t="s">
        <v>319</v>
      </c>
      <c r="E183" s="0" t="s">
        <v>354</v>
      </c>
      <c r="F183" s="0" t="s">
        <v>141</v>
      </c>
      <c r="G183" s="0" t="s">
        <v>250</v>
      </c>
      <c r="H183" s="6" t="n">
        <f aca="false">'Import-dataset'!T5</f>
        <v>836</v>
      </c>
    </row>
    <row r="184" customFormat="false" ht="15" hidden="false" customHeight="false" outlineLevel="0" collapsed="false">
      <c r="A184" s="0" t="s">
        <v>231</v>
      </c>
      <c r="B184" s="0" t="n">
        <v>2018</v>
      </c>
      <c r="C184" s="0" t="s">
        <v>353</v>
      </c>
      <c r="D184" s="0" t="s">
        <v>319</v>
      </c>
      <c r="E184" s="0" t="s">
        <v>354</v>
      </c>
      <c r="F184" s="0" t="s">
        <v>141</v>
      </c>
      <c r="G184" s="0" t="s">
        <v>250</v>
      </c>
      <c r="H184" s="6" t="n">
        <f aca="false">'Import-dataset'!T6</f>
        <v>1041</v>
      </c>
    </row>
    <row r="185" customFormat="false" ht="15" hidden="false" customHeight="false" outlineLevel="0" collapsed="false">
      <c r="A185" s="0" t="s">
        <v>231</v>
      </c>
      <c r="B185" s="0" t="n">
        <v>2019</v>
      </c>
      <c r="C185" s="0" t="s">
        <v>353</v>
      </c>
      <c r="D185" s="0" t="s">
        <v>319</v>
      </c>
      <c r="E185" s="0" t="s">
        <v>354</v>
      </c>
      <c r="F185" s="0" t="s">
        <v>141</v>
      </c>
      <c r="G185" s="0" t="s">
        <v>250</v>
      </c>
      <c r="H185" s="6" t="n">
        <f aca="false">'Import-dataset'!T7</f>
        <v>801</v>
      </c>
    </row>
    <row r="186" customFormat="false" ht="15" hidden="false" customHeight="false" outlineLevel="0" collapsed="false">
      <c r="A186" s="0" t="s">
        <v>231</v>
      </c>
      <c r="B186" s="0" t="n">
        <v>2020</v>
      </c>
      <c r="C186" s="0" t="s">
        <v>353</v>
      </c>
      <c r="D186" s="0" t="s">
        <v>319</v>
      </c>
      <c r="E186" s="0" t="s">
        <v>354</v>
      </c>
      <c r="F186" s="0" t="s">
        <v>141</v>
      </c>
      <c r="G186" s="0" t="s">
        <v>250</v>
      </c>
      <c r="H186" s="6" t="n">
        <f aca="false">'Import-dataset'!T8</f>
        <v>801</v>
      </c>
    </row>
    <row r="187" customFormat="false" ht="15" hidden="false" customHeight="false" outlineLevel="0" collapsed="false">
      <c r="A187" s="0" t="s">
        <v>231</v>
      </c>
      <c r="B187" s="0" t="n">
        <v>2021</v>
      </c>
      <c r="C187" s="0" t="s">
        <v>353</v>
      </c>
      <c r="D187" s="0" t="s">
        <v>319</v>
      </c>
      <c r="E187" s="0" t="s">
        <v>354</v>
      </c>
      <c r="F187" s="0" t="s">
        <v>141</v>
      </c>
      <c r="G187" s="0" t="s">
        <v>250</v>
      </c>
      <c r="H187" s="6" t="n">
        <f aca="false">'Import-dataset'!T9</f>
        <v>1051</v>
      </c>
    </row>
    <row r="188" customFormat="false" ht="15" hidden="false" customHeight="false" outlineLevel="0" collapsed="false">
      <c r="A188" s="0" t="s">
        <v>231</v>
      </c>
      <c r="B188" s="0" t="n">
        <v>2022</v>
      </c>
      <c r="C188" s="0" t="s">
        <v>353</v>
      </c>
      <c r="D188" s="0" t="s">
        <v>319</v>
      </c>
      <c r="E188" s="0" t="s">
        <v>354</v>
      </c>
      <c r="F188" s="0" t="s">
        <v>141</v>
      </c>
      <c r="G188" s="0" t="s">
        <v>250</v>
      </c>
      <c r="H188" s="6" t="n">
        <f aca="false">'Import-dataset'!T10</f>
        <v>1444</v>
      </c>
    </row>
    <row r="189" customFormat="false" ht="15" hidden="false" customHeight="false" outlineLevel="0" collapsed="false">
      <c r="A189" s="0" t="s">
        <v>231</v>
      </c>
      <c r="B189" s="0" t="n">
        <v>2023</v>
      </c>
      <c r="C189" s="0" t="s">
        <v>353</v>
      </c>
      <c r="D189" s="0" t="s">
        <v>319</v>
      </c>
      <c r="E189" s="0" t="s">
        <v>354</v>
      </c>
      <c r="F189" s="0" t="s">
        <v>141</v>
      </c>
      <c r="G189" s="0" t="s">
        <v>250</v>
      </c>
      <c r="H189" s="6" t="n">
        <f aca="false">'Import-dataset'!T11</f>
        <v>841</v>
      </c>
    </row>
    <row r="190" customFormat="false" ht="15" hidden="false" customHeight="false" outlineLevel="0" collapsed="false">
      <c r="A190" s="0" t="s">
        <v>231</v>
      </c>
      <c r="B190" s="0" t="n">
        <v>2024</v>
      </c>
      <c r="C190" s="0" t="s">
        <v>353</v>
      </c>
      <c r="D190" s="0" t="s">
        <v>319</v>
      </c>
      <c r="E190" s="0" t="s">
        <v>354</v>
      </c>
      <c r="F190" s="0" t="s">
        <v>141</v>
      </c>
      <c r="G190" s="0" t="s">
        <v>250</v>
      </c>
      <c r="H190" s="6" t="n">
        <f aca="false">'Import-dataset'!T12</f>
        <v>917</v>
      </c>
    </row>
    <row r="191" customFormat="false" ht="15" hidden="false" customHeight="false" outlineLevel="0" collapsed="false">
      <c r="A191" s="0" t="s">
        <v>231</v>
      </c>
      <c r="B191" s="0" t="n">
        <v>2025</v>
      </c>
      <c r="C191" s="0" t="s">
        <v>353</v>
      </c>
      <c r="D191" s="0" t="s">
        <v>319</v>
      </c>
      <c r="E191" s="0" t="s">
        <v>354</v>
      </c>
      <c r="F191" s="0" t="s">
        <v>141</v>
      </c>
      <c r="G191" s="0" t="s">
        <v>250</v>
      </c>
      <c r="H191" s="6" t="n">
        <f aca="false">'Import-dataset'!T13</f>
        <v>953</v>
      </c>
    </row>
    <row r="192" customFormat="false" ht="15" hidden="false" customHeight="false" outlineLevel="0" collapsed="false">
      <c r="A192" s="0" t="s">
        <v>231</v>
      </c>
      <c r="B192" s="0" t="n">
        <v>2016</v>
      </c>
      <c r="C192" s="0" t="s">
        <v>355</v>
      </c>
      <c r="D192" s="0" t="s">
        <v>319</v>
      </c>
      <c r="E192" s="0" t="s">
        <v>356</v>
      </c>
      <c r="F192" s="0" t="s">
        <v>141</v>
      </c>
      <c r="G192" s="0" t="s">
        <v>251</v>
      </c>
      <c r="H192" s="6" t="n">
        <f aca="false">'Import-dataset'!U4</f>
        <v>212</v>
      </c>
    </row>
    <row r="193" customFormat="false" ht="15" hidden="false" customHeight="false" outlineLevel="0" collapsed="false">
      <c r="A193" s="0" t="s">
        <v>231</v>
      </c>
      <c r="B193" s="0" t="n">
        <v>2017</v>
      </c>
      <c r="C193" s="0" t="s">
        <v>355</v>
      </c>
      <c r="D193" s="0" t="s">
        <v>319</v>
      </c>
      <c r="E193" s="0" t="s">
        <v>356</v>
      </c>
      <c r="F193" s="0" t="s">
        <v>141</v>
      </c>
      <c r="G193" s="0" t="s">
        <v>251</v>
      </c>
      <c r="H193" s="6" t="n">
        <f aca="false">'Import-dataset'!U5</f>
        <v>232</v>
      </c>
    </row>
    <row r="194" customFormat="false" ht="15" hidden="false" customHeight="false" outlineLevel="0" collapsed="false">
      <c r="A194" s="0" t="s">
        <v>231</v>
      </c>
      <c r="B194" s="0" t="n">
        <v>2018</v>
      </c>
      <c r="C194" s="0" t="s">
        <v>355</v>
      </c>
      <c r="D194" s="0" t="s">
        <v>319</v>
      </c>
      <c r="E194" s="0" t="s">
        <v>356</v>
      </c>
      <c r="F194" s="0" t="s">
        <v>141</v>
      </c>
      <c r="G194" s="0" t="s">
        <v>251</v>
      </c>
      <c r="H194" s="6" t="n">
        <f aca="false">'Import-dataset'!U6</f>
        <v>284</v>
      </c>
    </row>
    <row r="195" customFormat="false" ht="15" hidden="false" customHeight="false" outlineLevel="0" collapsed="false">
      <c r="A195" s="0" t="s">
        <v>231</v>
      </c>
      <c r="B195" s="0" t="n">
        <v>2019</v>
      </c>
      <c r="C195" s="0" t="s">
        <v>355</v>
      </c>
      <c r="D195" s="0" t="s">
        <v>319</v>
      </c>
      <c r="E195" s="0" t="s">
        <v>356</v>
      </c>
      <c r="F195" s="0" t="s">
        <v>141</v>
      </c>
      <c r="G195" s="0" t="s">
        <v>251</v>
      </c>
      <c r="H195" s="6" t="n">
        <f aca="false">'Import-dataset'!U7</f>
        <v>260</v>
      </c>
    </row>
    <row r="196" customFormat="false" ht="15" hidden="false" customHeight="false" outlineLevel="0" collapsed="false">
      <c r="A196" s="0" t="s">
        <v>231</v>
      </c>
      <c r="B196" s="0" t="n">
        <v>2020</v>
      </c>
      <c r="C196" s="0" t="s">
        <v>355</v>
      </c>
      <c r="D196" s="0" t="s">
        <v>319</v>
      </c>
      <c r="E196" s="0" t="s">
        <v>356</v>
      </c>
      <c r="F196" s="0" t="s">
        <v>141</v>
      </c>
      <c r="G196" s="0" t="s">
        <v>251</v>
      </c>
      <c r="H196" s="6" t="n">
        <f aca="false">'Import-dataset'!U8</f>
        <v>240</v>
      </c>
    </row>
    <row r="197" customFormat="false" ht="15" hidden="false" customHeight="false" outlineLevel="0" collapsed="false">
      <c r="A197" s="0" t="s">
        <v>231</v>
      </c>
      <c r="B197" s="0" t="n">
        <v>2021</v>
      </c>
      <c r="C197" s="0" t="s">
        <v>355</v>
      </c>
      <c r="D197" s="0" t="s">
        <v>319</v>
      </c>
      <c r="E197" s="0" t="s">
        <v>356</v>
      </c>
      <c r="F197" s="0" t="s">
        <v>141</v>
      </c>
      <c r="G197" s="0" t="s">
        <v>251</v>
      </c>
      <c r="H197" s="6" t="n">
        <f aca="false">'Import-dataset'!U9</f>
        <v>281</v>
      </c>
    </row>
    <row r="198" customFormat="false" ht="15" hidden="false" customHeight="false" outlineLevel="0" collapsed="false">
      <c r="A198" s="0" t="s">
        <v>231</v>
      </c>
      <c r="B198" s="0" t="n">
        <v>2022</v>
      </c>
      <c r="C198" s="0" t="s">
        <v>355</v>
      </c>
      <c r="D198" s="0" t="s">
        <v>319</v>
      </c>
      <c r="E198" s="0" t="s">
        <v>356</v>
      </c>
      <c r="F198" s="0" t="s">
        <v>141</v>
      </c>
      <c r="G198" s="0" t="s">
        <v>251</v>
      </c>
      <c r="H198" s="6" t="n">
        <f aca="false">'Import-dataset'!U10</f>
        <v>365</v>
      </c>
    </row>
    <row r="199" customFormat="false" ht="15" hidden="false" customHeight="false" outlineLevel="0" collapsed="false">
      <c r="A199" s="0" t="s">
        <v>231</v>
      </c>
      <c r="B199" s="0" t="n">
        <v>2023</v>
      </c>
      <c r="C199" s="0" t="s">
        <v>355</v>
      </c>
      <c r="D199" s="0" t="s">
        <v>319</v>
      </c>
      <c r="E199" s="0" t="s">
        <v>356</v>
      </c>
      <c r="F199" s="0" t="s">
        <v>141</v>
      </c>
      <c r="G199" s="0" t="s">
        <v>251</v>
      </c>
      <c r="H199" s="6" t="n">
        <f aca="false">'Import-dataset'!U11</f>
        <v>280</v>
      </c>
    </row>
    <row r="200" customFormat="false" ht="15" hidden="false" customHeight="false" outlineLevel="0" collapsed="false">
      <c r="A200" s="0" t="s">
        <v>231</v>
      </c>
      <c r="B200" s="0" t="n">
        <v>2024</v>
      </c>
      <c r="C200" s="0" t="s">
        <v>355</v>
      </c>
      <c r="D200" s="0" t="s">
        <v>319</v>
      </c>
      <c r="E200" s="0" t="s">
        <v>356</v>
      </c>
      <c r="F200" s="0" t="s">
        <v>141</v>
      </c>
      <c r="G200" s="0" t="s">
        <v>251</v>
      </c>
      <c r="H200" s="6" t="n">
        <f aca="false">'Import-dataset'!U12</f>
        <v>276</v>
      </c>
    </row>
    <row r="201" customFormat="false" ht="15" hidden="false" customHeight="false" outlineLevel="0" collapsed="false">
      <c r="A201" s="0" t="s">
        <v>231</v>
      </c>
      <c r="B201" s="0" t="n">
        <v>2025</v>
      </c>
      <c r="C201" s="0" t="s">
        <v>355</v>
      </c>
      <c r="D201" s="0" t="s">
        <v>319</v>
      </c>
      <c r="E201" s="0" t="s">
        <v>356</v>
      </c>
      <c r="F201" s="0" t="s">
        <v>141</v>
      </c>
      <c r="G201" s="0" t="s">
        <v>251</v>
      </c>
      <c r="H201" s="6" t="n">
        <f aca="false">'Import-dataset'!U13</f>
        <v>270</v>
      </c>
    </row>
    <row r="202" customFormat="false" ht="15" hidden="false" customHeight="false" outlineLevel="0" collapsed="false">
      <c r="A202" s="0" t="s">
        <v>231</v>
      </c>
      <c r="B202" s="0" t="n">
        <v>2016</v>
      </c>
      <c r="C202" s="0" t="s">
        <v>357</v>
      </c>
      <c r="D202" s="0" t="s">
        <v>319</v>
      </c>
      <c r="E202" s="0" t="s">
        <v>358</v>
      </c>
      <c r="F202" s="0" t="s">
        <v>141</v>
      </c>
      <c r="G202" s="0" t="s">
        <v>252</v>
      </c>
      <c r="H202" s="6" t="n">
        <f aca="false">'Import-dataset'!V4</f>
        <v>99</v>
      </c>
    </row>
    <row r="203" customFormat="false" ht="15" hidden="false" customHeight="false" outlineLevel="0" collapsed="false">
      <c r="A203" s="0" t="s">
        <v>231</v>
      </c>
      <c r="B203" s="0" t="n">
        <v>2017</v>
      </c>
      <c r="C203" s="0" t="s">
        <v>357</v>
      </c>
      <c r="D203" s="0" t="s">
        <v>319</v>
      </c>
      <c r="E203" s="0" t="s">
        <v>358</v>
      </c>
      <c r="F203" s="0" t="s">
        <v>141</v>
      </c>
      <c r="G203" s="0" t="s">
        <v>252</v>
      </c>
      <c r="H203" s="6" t="n">
        <f aca="false">'Import-dataset'!V5</f>
        <v>91</v>
      </c>
    </row>
    <row r="204" customFormat="false" ht="15" hidden="false" customHeight="false" outlineLevel="0" collapsed="false">
      <c r="A204" s="0" t="s">
        <v>231</v>
      </c>
      <c r="B204" s="0" t="n">
        <v>2018</v>
      </c>
      <c r="C204" s="0" t="s">
        <v>357</v>
      </c>
      <c r="D204" s="0" t="s">
        <v>319</v>
      </c>
      <c r="E204" s="0" t="s">
        <v>358</v>
      </c>
      <c r="F204" s="0" t="s">
        <v>141</v>
      </c>
      <c r="G204" s="0" t="s">
        <v>252</v>
      </c>
      <c r="H204" s="6" t="n">
        <f aca="false">'Import-dataset'!V6</f>
        <v>99</v>
      </c>
    </row>
    <row r="205" customFormat="false" ht="15" hidden="false" customHeight="false" outlineLevel="0" collapsed="false">
      <c r="A205" s="0" t="s">
        <v>231</v>
      </c>
      <c r="B205" s="0" t="n">
        <v>2019</v>
      </c>
      <c r="C205" s="0" t="s">
        <v>357</v>
      </c>
      <c r="D205" s="0" t="s">
        <v>319</v>
      </c>
      <c r="E205" s="0" t="s">
        <v>358</v>
      </c>
      <c r="F205" s="0" t="s">
        <v>141</v>
      </c>
      <c r="G205" s="0" t="s">
        <v>252</v>
      </c>
      <c r="H205" s="6" t="n">
        <f aca="false">'Import-dataset'!V7</f>
        <v>98</v>
      </c>
    </row>
    <row r="206" customFormat="false" ht="15" hidden="false" customHeight="false" outlineLevel="0" collapsed="false">
      <c r="A206" s="0" t="s">
        <v>231</v>
      </c>
      <c r="B206" s="0" t="n">
        <v>2020</v>
      </c>
      <c r="C206" s="0" t="s">
        <v>357</v>
      </c>
      <c r="D206" s="0" t="s">
        <v>319</v>
      </c>
      <c r="E206" s="0" t="s">
        <v>358</v>
      </c>
      <c r="F206" s="0" t="s">
        <v>141</v>
      </c>
      <c r="G206" s="0" t="s">
        <v>252</v>
      </c>
      <c r="H206" s="6" t="n">
        <f aca="false">'Import-dataset'!V8</f>
        <v>97</v>
      </c>
    </row>
    <row r="207" customFormat="false" ht="15" hidden="false" customHeight="false" outlineLevel="0" collapsed="false">
      <c r="A207" s="0" t="s">
        <v>231</v>
      </c>
      <c r="B207" s="0" t="n">
        <v>2021</v>
      </c>
      <c r="C207" s="0" t="s">
        <v>357</v>
      </c>
      <c r="D207" s="0" t="s">
        <v>319</v>
      </c>
      <c r="E207" s="0" t="s">
        <v>358</v>
      </c>
      <c r="F207" s="0" t="s">
        <v>141</v>
      </c>
      <c r="G207" s="0" t="s">
        <v>252</v>
      </c>
      <c r="H207" s="6" t="n">
        <f aca="false">'Import-dataset'!V9</f>
        <v>115</v>
      </c>
    </row>
    <row r="208" customFormat="false" ht="15" hidden="false" customHeight="false" outlineLevel="0" collapsed="false">
      <c r="A208" s="0" t="s">
        <v>231</v>
      </c>
      <c r="B208" s="0" t="n">
        <v>2022</v>
      </c>
      <c r="C208" s="0" t="s">
        <v>357</v>
      </c>
      <c r="D208" s="0" t="s">
        <v>319</v>
      </c>
      <c r="E208" s="0" t="s">
        <v>358</v>
      </c>
      <c r="F208" s="0" t="s">
        <v>141</v>
      </c>
      <c r="G208" s="0" t="s">
        <v>252</v>
      </c>
      <c r="H208" s="6" t="n">
        <f aca="false">'Import-dataset'!V10</f>
        <v>125</v>
      </c>
    </row>
    <row r="209" customFormat="false" ht="15" hidden="false" customHeight="false" outlineLevel="0" collapsed="false">
      <c r="A209" s="0" t="s">
        <v>231</v>
      </c>
      <c r="B209" s="0" t="n">
        <v>2023</v>
      </c>
      <c r="C209" s="0" t="s">
        <v>357</v>
      </c>
      <c r="D209" s="0" t="s">
        <v>319</v>
      </c>
      <c r="E209" s="0" t="s">
        <v>358</v>
      </c>
      <c r="F209" s="0" t="s">
        <v>141</v>
      </c>
      <c r="G209" s="0" t="s">
        <v>252</v>
      </c>
      <c r="H209" s="6" t="n">
        <f aca="false">'Import-dataset'!V11</f>
        <v>119</v>
      </c>
    </row>
    <row r="210" customFormat="false" ht="15" hidden="false" customHeight="false" outlineLevel="0" collapsed="false">
      <c r="A210" s="0" t="s">
        <v>231</v>
      </c>
      <c r="B210" s="0" t="n">
        <v>2024</v>
      </c>
      <c r="C210" s="0" t="s">
        <v>357</v>
      </c>
      <c r="D210" s="0" t="s">
        <v>319</v>
      </c>
      <c r="E210" s="0" t="s">
        <v>358</v>
      </c>
      <c r="F210" s="0" t="s">
        <v>141</v>
      </c>
      <c r="G210" s="0" t="s">
        <v>252</v>
      </c>
      <c r="H210" s="6" t="n">
        <f aca="false">'Import-dataset'!V12</f>
        <v>121</v>
      </c>
    </row>
    <row r="211" customFormat="false" ht="15" hidden="false" customHeight="false" outlineLevel="0" collapsed="false">
      <c r="A211" s="0" t="s">
        <v>231</v>
      </c>
      <c r="B211" s="0" t="n">
        <v>2025</v>
      </c>
      <c r="C211" s="0" t="s">
        <v>357</v>
      </c>
      <c r="D211" s="0" t="s">
        <v>319</v>
      </c>
      <c r="E211" s="0" t="s">
        <v>358</v>
      </c>
      <c r="F211" s="0" t="s">
        <v>141</v>
      </c>
      <c r="G211" s="0" t="s">
        <v>252</v>
      </c>
      <c r="H211" s="6" t="n">
        <f aca="false">'Import-dataset'!V13</f>
        <v>127</v>
      </c>
    </row>
    <row r="212" customFormat="false" ht="15" hidden="false" customHeight="false" outlineLevel="0" collapsed="false">
      <c r="A212" s="0" t="s">
        <v>231</v>
      </c>
      <c r="B212" s="0" t="n">
        <v>2016</v>
      </c>
      <c r="C212" s="0" t="s">
        <v>359</v>
      </c>
      <c r="D212" s="0" t="s">
        <v>319</v>
      </c>
      <c r="E212" s="0" t="s">
        <v>360</v>
      </c>
      <c r="F212" s="0" t="s">
        <v>141</v>
      </c>
      <c r="G212" s="0" t="s">
        <v>253</v>
      </c>
      <c r="H212" s="6" t="n">
        <f aca="false">'Import-dataset'!W4</f>
        <v>311</v>
      </c>
    </row>
    <row r="213" customFormat="false" ht="15" hidden="false" customHeight="false" outlineLevel="0" collapsed="false">
      <c r="A213" s="0" t="s">
        <v>231</v>
      </c>
      <c r="B213" s="0" t="n">
        <v>2017</v>
      </c>
      <c r="C213" s="0" t="s">
        <v>359</v>
      </c>
      <c r="D213" s="0" t="s">
        <v>319</v>
      </c>
      <c r="E213" s="0" t="s">
        <v>360</v>
      </c>
      <c r="F213" s="0" t="s">
        <v>141</v>
      </c>
      <c r="G213" s="0" t="s">
        <v>253</v>
      </c>
      <c r="H213" s="6" t="n">
        <f aca="false">'Import-dataset'!W5</f>
        <v>286</v>
      </c>
    </row>
    <row r="214" customFormat="false" ht="15" hidden="false" customHeight="false" outlineLevel="0" collapsed="false">
      <c r="A214" s="0" t="s">
        <v>231</v>
      </c>
      <c r="B214" s="0" t="n">
        <v>2018</v>
      </c>
      <c r="C214" s="0" t="s">
        <v>359</v>
      </c>
      <c r="D214" s="0" t="s">
        <v>319</v>
      </c>
      <c r="E214" s="0" t="s">
        <v>360</v>
      </c>
      <c r="F214" s="0" t="s">
        <v>141</v>
      </c>
      <c r="G214" s="0" t="s">
        <v>253</v>
      </c>
      <c r="H214" s="6" t="n">
        <f aca="false">'Import-dataset'!W6</f>
        <v>316</v>
      </c>
    </row>
    <row r="215" customFormat="false" ht="15" hidden="false" customHeight="false" outlineLevel="0" collapsed="false">
      <c r="A215" s="0" t="s">
        <v>231</v>
      </c>
      <c r="B215" s="0" t="n">
        <v>2019</v>
      </c>
      <c r="C215" s="0" t="s">
        <v>359</v>
      </c>
      <c r="D215" s="0" t="s">
        <v>319</v>
      </c>
      <c r="E215" s="0" t="s">
        <v>360</v>
      </c>
      <c r="F215" s="0" t="s">
        <v>141</v>
      </c>
      <c r="G215" s="0" t="s">
        <v>253</v>
      </c>
      <c r="H215" s="6" t="n">
        <f aca="false">'Import-dataset'!W7</f>
        <v>286</v>
      </c>
    </row>
    <row r="216" customFormat="false" ht="15" hidden="false" customHeight="false" outlineLevel="0" collapsed="false">
      <c r="A216" s="0" t="s">
        <v>231</v>
      </c>
      <c r="B216" s="0" t="n">
        <v>2020</v>
      </c>
      <c r="C216" s="0" t="s">
        <v>359</v>
      </c>
      <c r="D216" s="0" t="s">
        <v>319</v>
      </c>
      <c r="E216" s="0" t="s">
        <v>360</v>
      </c>
      <c r="F216" s="0" t="s">
        <v>141</v>
      </c>
      <c r="G216" s="0" t="s">
        <v>253</v>
      </c>
      <c r="H216" s="6" t="n">
        <f aca="false">'Import-dataset'!W8</f>
        <v>298</v>
      </c>
    </row>
    <row r="217" customFormat="false" ht="15" hidden="false" customHeight="false" outlineLevel="0" collapsed="false">
      <c r="A217" s="0" t="s">
        <v>231</v>
      </c>
      <c r="B217" s="0" t="n">
        <v>2021</v>
      </c>
      <c r="C217" s="0" t="s">
        <v>359</v>
      </c>
      <c r="D217" s="0" t="s">
        <v>319</v>
      </c>
      <c r="E217" s="0" t="s">
        <v>360</v>
      </c>
      <c r="F217" s="0" t="s">
        <v>141</v>
      </c>
      <c r="G217" s="0" t="s">
        <v>253</v>
      </c>
      <c r="H217" s="6" t="n">
        <f aca="false">'Import-dataset'!W9</f>
        <v>426</v>
      </c>
    </row>
    <row r="218" customFormat="false" ht="15" hidden="false" customHeight="false" outlineLevel="0" collapsed="false">
      <c r="A218" s="0" t="s">
        <v>231</v>
      </c>
      <c r="B218" s="0" t="n">
        <v>2022</v>
      </c>
      <c r="C218" s="0" t="s">
        <v>359</v>
      </c>
      <c r="D218" s="0" t="s">
        <v>319</v>
      </c>
      <c r="E218" s="0" t="s">
        <v>360</v>
      </c>
      <c r="F218" s="0" t="s">
        <v>141</v>
      </c>
      <c r="G218" s="0" t="s">
        <v>253</v>
      </c>
      <c r="H218" s="6" t="n">
        <f aca="false">'Import-dataset'!W10</f>
        <v>604</v>
      </c>
    </row>
    <row r="219" customFormat="false" ht="15" hidden="false" customHeight="false" outlineLevel="0" collapsed="false">
      <c r="A219" s="0" t="s">
        <v>231</v>
      </c>
      <c r="B219" s="0" t="n">
        <v>2023</v>
      </c>
      <c r="C219" s="0" t="s">
        <v>359</v>
      </c>
      <c r="D219" s="0" t="s">
        <v>319</v>
      </c>
      <c r="E219" s="0" t="s">
        <v>360</v>
      </c>
      <c r="F219" s="0" t="s">
        <v>141</v>
      </c>
      <c r="G219" s="0" t="s">
        <v>253</v>
      </c>
      <c r="H219" s="6" t="n">
        <f aca="false">'Import-dataset'!W11</f>
        <v>478</v>
      </c>
    </row>
    <row r="220" customFormat="false" ht="15" hidden="false" customHeight="false" outlineLevel="0" collapsed="false">
      <c r="A220" s="0" t="s">
        <v>231</v>
      </c>
      <c r="B220" s="0" t="n">
        <v>2024</v>
      </c>
      <c r="C220" s="0" t="s">
        <v>359</v>
      </c>
      <c r="D220" s="0" t="s">
        <v>319</v>
      </c>
      <c r="E220" s="0" t="s">
        <v>360</v>
      </c>
      <c r="F220" s="0" t="s">
        <v>141</v>
      </c>
      <c r="G220" s="0" t="s">
        <v>253</v>
      </c>
      <c r="H220" s="6" t="n">
        <f aca="false">'Import-dataset'!W12</f>
        <v>362</v>
      </c>
    </row>
    <row r="221" customFormat="false" ht="15" hidden="false" customHeight="false" outlineLevel="0" collapsed="false">
      <c r="A221" s="0" t="s">
        <v>231</v>
      </c>
      <c r="B221" s="0" t="n">
        <v>2025</v>
      </c>
      <c r="C221" s="0" t="s">
        <v>359</v>
      </c>
      <c r="D221" s="0" t="s">
        <v>319</v>
      </c>
      <c r="E221" s="0" t="s">
        <v>360</v>
      </c>
      <c r="F221" s="0" t="s">
        <v>141</v>
      </c>
      <c r="G221" s="0" t="s">
        <v>253</v>
      </c>
      <c r="H221" s="6" t="n">
        <f aca="false">'Import-dataset'!W13</f>
        <v>481</v>
      </c>
    </row>
    <row r="222" customFormat="false" ht="15" hidden="false" customHeight="false" outlineLevel="0" collapsed="false">
      <c r="A222" s="0" t="s">
        <v>231</v>
      </c>
      <c r="B222" s="0" t="n">
        <v>2016</v>
      </c>
      <c r="C222" s="0" t="s">
        <v>361</v>
      </c>
      <c r="D222" s="0" t="s">
        <v>319</v>
      </c>
      <c r="E222" s="0" t="s">
        <v>362</v>
      </c>
      <c r="F222" s="0" t="s">
        <v>141</v>
      </c>
      <c r="G222" s="0" t="s">
        <v>254</v>
      </c>
      <c r="H222" s="6" t="n">
        <f aca="false">'Import-dataset'!X4</f>
        <v>1017</v>
      </c>
    </row>
    <row r="223" customFormat="false" ht="15" hidden="false" customHeight="false" outlineLevel="0" collapsed="false">
      <c r="A223" s="0" t="s">
        <v>231</v>
      </c>
      <c r="B223" s="0" t="n">
        <v>2017</v>
      </c>
      <c r="C223" s="0" t="s">
        <v>361</v>
      </c>
      <c r="D223" s="0" t="s">
        <v>319</v>
      </c>
      <c r="E223" s="0" t="s">
        <v>362</v>
      </c>
      <c r="F223" s="0" t="s">
        <v>141</v>
      </c>
      <c r="G223" s="0" t="s">
        <v>254</v>
      </c>
      <c r="H223" s="6" t="n">
        <f aca="false">'Import-dataset'!X5</f>
        <v>1221</v>
      </c>
    </row>
    <row r="224" customFormat="false" ht="15" hidden="false" customHeight="false" outlineLevel="0" collapsed="false">
      <c r="A224" s="0" t="s">
        <v>231</v>
      </c>
      <c r="B224" s="0" t="n">
        <v>2018</v>
      </c>
      <c r="C224" s="0" t="s">
        <v>361</v>
      </c>
      <c r="D224" s="0" t="s">
        <v>319</v>
      </c>
      <c r="E224" s="0" t="s">
        <v>362</v>
      </c>
      <c r="F224" s="0" t="s">
        <v>141</v>
      </c>
      <c r="G224" s="0" t="s">
        <v>254</v>
      </c>
      <c r="H224" s="6" t="n">
        <f aca="false">'Import-dataset'!X6</f>
        <v>1306</v>
      </c>
    </row>
    <row r="225" customFormat="false" ht="15" hidden="false" customHeight="false" outlineLevel="0" collapsed="false">
      <c r="A225" s="0" t="s">
        <v>231</v>
      </c>
      <c r="B225" s="0" t="n">
        <v>2019</v>
      </c>
      <c r="C225" s="0" t="s">
        <v>361</v>
      </c>
      <c r="D225" s="0" t="s">
        <v>319</v>
      </c>
      <c r="E225" s="0" t="s">
        <v>362</v>
      </c>
      <c r="F225" s="0" t="s">
        <v>141</v>
      </c>
      <c r="G225" s="0" t="s">
        <v>254</v>
      </c>
      <c r="H225" s="6" t="n">
        <f aca="false">'Import-dataset'!X7</f>
        <v>744</v>
      </c>
    </row>
    <row r="226" customFormat="false" ht="15" hidden="false" customHeight="false" outlineLevel="0" collapsed="false">
      <c r="A226" s="0" t="s">
        <v>231</v>
      </c>
      <c r="B226" s="0" t="n">
        <v>2020</v>
      </c>
      <c r="C226" s="0" t="s">
        <v>361</v>
      </c>
      <c r="D226" s="0" t="s">
        <v>319</v>
      </c>
      <c r="E226" s="0" t="s">
        <v>362</v>
      </c>
      <c r="F226" s="0" t="s">
        <v>141</v>
      </c>
      <c r="G226" s="0" t="s">
        <v>254</v>
      </c>
      <c r="H226" s="6" t="n">
        <f aca="false">'Import-dataset'!X8</f>
        <v>870</v>
      </c>
    </row>
    <row r="227" customFormat="false" ht="15" hidden="false" customHeight="false" outlineLevel="0" collapsed="false">
      <c r="A227" s="0" t="s">
        <v>231</v>
      </c>
      <c r="B227" s="0" t="n">
        <v>2021</v>
      </c>
      <c r="C227" s="0" t="s">
        <v>361</v>
      </c>
      <c r="D227" s="0" t="s">
        <v>319</v>
      </c>
      <c r="E227" s="0" t="s">
        <v>362</v>
      </c>
      <c r="F227" s="0" t="s">
        <v>141</v>
      </c>
      <c r="G227" s="0" t="s">
        <v>254</v>
      </c>
      <c r="H227" s="6" t="n">
        <f aca="false">'Import-dataset'!X9</f>
        <v>1425</v>
      </c>
    </row>
    <row r="228" customFormat="false" ht="15" hidden="false" customHeight="false" outlineLevel="0" collapsed="false">
      <c r="A228" s="0" t="s">
        <v>231</v>
      </c>
      <c r="B228" s="0" t="n">
        <v>2022</v>
      </c>
      <c r="C228" s="0" t="s">
        <v>361</v>
      </c>
      <c r="D228" s="0" t="s">
        <v>319</v>
      </c>
      <c r="E228" s="0" t="s">
        <v>362</v>
      </c>
      <c r="F228" s="0" t="s">
        <v>141</v>
      </c>
      <c r="G228" s="0" t="s">
        <v>254</v>
      </c>
      <c r="H228" s="6" t="n">
        <f aca="false">'Import-dataset'!X10</f>
        <v>945</v>
      </c>
    </row>
    <row r="229" customFormat="false" ht="15" hidden="false" customHeight="false" outlineLevel="0" collapsed="false">
      <c r="A229" s="0" t="s">
        <v>231</v>
      </c>
      <c r="B229" s="0" t="n">
        <v>2023</v>
      </c>
      <c r="C229" s="0" t="s">
        <v>361</v>
      </c>
      <c r="D229" s="0" t="s">
        <v>319</v>
      </c>
      <c r="E229" s="0" t="s">
        <v>362</v>
      </c>
      <c r="F229" s="0" t="s">
        <v>141</v>
      </c>
      <c r="G229" s="0" t="s">
        <v>254</v>
      </c>
      <c r="H229" s="6" t="n">
        <f aca="false">'Import-dataset'!X11</f>
        <v>1019</v>
      </c>
    </row>
    <row r="230" customFormat="false" ht="15" hidden="false" customHeight="false" outlineLevel="0" collapsed="false">
      <c r="A230" s="0" t="s">
        <v>231</v>
      </c>
      <c r="B230" s="0" t="n">
        <v>2024</v>
      </c>
      <c r="C230" s="0" t="s">
        <v>361</v>
      </c>
      <c r="D230" s="0" t="s">
        <v>319</v>
      </c>
      <c r="E230" s="0" t="s">
        <v>362</v>
      </c>
      <c r="F230" s="0" t="s">
        <v>141</v>
      </c>
      <c r="G230" s="0" t="s">
        <v>254</v>
      </c>
      <c r="H230" s="6" t="n">
        <f aca="false">'Import-dataset'!X12</f>
        <v>1143</v>
      </c>
    </row>
    <row r="231" customFormat="false" ht="15" hidden="false" customHeight="false" outlineLevel="0" collapsed="false">
      <c r="A231" s="0" t="s">
        <v>231</v>
      </c>
      <c r="B231" s="0" t="n">
        <v>2025</v>
      </c>
      <c r="C231" s="0" t="s">
        <v>361</v>
      </c>
      <c r="D231" s="0" t="s">
        <v>319</v>
      </c>
      <c r="E231" s="0" t="s">
        <v>362</v>
      </c>
      <c r="F231" s="0" t="s">
        <v>141</v>
      </c>
      <c r="G231" s="0" t="s">
        <v>254</v>
      </c>
      <c r="H231" s="6" t="n">
        <f aca="false">'Import-dataset'!X13</f>
        <v>2129</v>
      </c>
    </row>
    <row r="232" customFormat="false" ht="15" hidden="false" customHeight="false" outlineLevel="0" collapsed="false">
      <c r="A232" s="0" t="s">
        <v>231</v>
      </c>
      <c r="B232" s="0" t="n">
        <v>2016</v>
      </c>
      <c r="C232" s="0" t="s">
        <v>363</v>
      </c>
      <c r="D232" s="0" t="s">
        <v>319</v>
      </c>
      <c r="E232" s="0" t="s">
        <v>364</v>
      </c>
      <c r="F232" s="0" t="s">
        <v>141</v>
      </c>
      <c r="G232" s="0" t="s">
        <v>255</v>
      </c>
      <c r="H232" s="6" t="n">
        <f aca="false">'Import-dataset'!Y4</f>
        <v>551</v>
      </c>
    </row>
    <row r="233" customFormat="false" ht="15" hidden="false" customHeight="false" outlineLevel="0" collapsed="false">
      <c r="A233" s="0" t="s">
        <v>231</v>
      </c>
      <c r="B233" s="0" t="n">
        <v>2017</v>
      </c>
      <c r="C233" s="0" t="s">
        <v>363</v>
      </c>
      <c r="D233" s="0" t="s">
        <v>319</v>
      </c>
      <c r="E233" s="0" t="s">
        <v>364</v>
      </c>
      <c r="F233" s="0" t="s">
        <v>141</v>
      </c>
      <c r="G233" s="0" t="s">
        <v>255</v>
      </c>
      <c r="H233" s="6" t="n">
        <f aca="false">'Import-dataset'!Y5</f>
        <v>597</v>
      </c>
    </row>
    <row r="234" customFormat="false" ht="15" hidden="false" customHeight="false" outlineLevel="0" collapsed="false">
      <c r="A234" s="0" t="s">
        <v>231</v>
      </c>
      <c r="B234" s="0" t="n">
        <v>2018</v>
      </c>
      <c r="C234" s="0" t="s">
        <v>363</v>
      </c>
      <c r="D234" s="0" t="s">
        <v>319</v>
      </c>
      <c r="E234" s="0" t="s">
        <v>364</v>
      </c>
      <c r="F234" s="0" t="s">
        <v>141</v>
      </c>
      <c r="G234" s="0" t="s">
        <v>255</v>
      </c>
      <c r="H234" s="6" t="n">
        <f aca="false">'Import-dataset'!Y6</f>
        <v>662</v>
      </c>
    </row>
    <row r="235" customFormat="false" ht="15" hidden="false" customHeight="false" outlineLevel="0" collapsed="false">
      <c r="A235" s="0" t="s">
        <v>231</v>
      </c>
      <c r="B235" s="0" t="n">
        <v>2019</v>
      </c>
      <c r="C235" s="0" t="s">
        <v>363</v>
      </c>
      <c r="D235" s="0" t="s">
        <v>319</v>
      </c>
      <c r="E235" s="0" t="s">
        <v>364</v>
      </c>
      <c r="F235" s="0" t="s">
        <v>141</v>
      </c>
      <c r="G235" s="0" t="s">
        <v>255</v>
      </c>
      <c r="H235" s="6" t="n">
        <f aca="false">'Import-dataset'!Y7</f>
        <v>665</v>
      </c>
    </row>
    <row r="236" customFormat="false" ht="15" hidden="false" customHeight="false" outlineLevel="0" collapsed="false">
      <c r="A236" s="0" t="s">
        <v>231</v>
      </c>
      <c r="B236" s="0" t="n">
        <v>2020</v>
      </c>
      <c r="C236" s="0" t="s">
        <v>363</v>
      </c>
      <c r="D236" s="0" t="s">
        <v>319</v>
      </c>
      <c r="E236" s="0" t="s">
        <v>364</v>
      </c>
      <c r="F236" s="0" t="s">
        <v>141</v>
      </c>
      <c r="G236" s="0" t="s">
        <v>255</v>
      </c>
      <c r="H236" s="6" t="n">
        <f aca="false">'Import-dataset'!Y8</f>
        <v>686</v>
      </c>
    </row>
    <row r="237" customFormat="false" ht="15" hidden="false" customHeight="false" outlineLevel="0" collapsed="false">
      <c r="A237" s="0" t="s">
        <v>231</v>
      </c>
      <c r="B237" s="0" t="n">
        <v>2021</v>
      </c>
      <c r="C237" s="0" t="s">
        <v>363</v>
      </c>
      <c r="D237" s="0" t="s">
        <v>319</v>
      </c>
      <c r="E237" s="0" t="s">
        <v>364</v>
      </c>
      <c r="F237" s="0" t="s">
        <v>141</v>
      </c>
      <c r="G237" s="0" t="s">
        <v>255</v>
      </c>
      <c r="H237" s="6" t="n">
        <f aca="false">'Import-dataset'!Y9</f>
        <v>712</v>
      </c>
    </row>
    <row r="238" customFormat="false" ht="15" hidden="false" customHeight="false" outlineLevel="0" collapsed="false">
      <c r="A238" s="0" t="s">
        <v>231</v>
      </c>
      <c r="B238" s="0" t="n">
        <v>2022</v>
      </c>
      <c r="C238" s="0" t="s">
        <v>363</v>
      </c>
      <c r="D238" s="0" t="s">
        <v>319</v>
      </c>
      <c r="E238" s="0" t="s">
        <v>364</v>
      </c>
      <c r="F238" s="0" t="s">
        <v>141</v>
      </c>
      <c r="G238" s="0" t="s">
        <v>255</v>
      </c>
      <c r="H238" s="6" t="n">
        <f aca="false">'Import-dataset'!Y10</f>
        <v>881</v>
      </c>
    </row>
    <row r="239" customFormat="false" ht="15" hidden="false" customHeight="false" outlineLevel="0" collapsed="false">
      <c r="A239" s="0" t="s">
        <v>231</v>
      </c>
      <c r="B239" s="0" t="n">
        <v>2023</v>
      </c>
      <c r="C239" s="0" t="s">
        <v>363</v>
      </c>
      <c r="D239" s="0" t="s">
        <v>319</v>
      </c>
      <c r="E239" s="0" t="s">
        <v>364</v>
      </c>
      <c r="F239" s="0" t="s">
        <v>141</v>
      </c>
      <c r="G239" s="0" t="s">
        <v>255</v>
      </c>
      <c r="H239" s="6" t="n">
        <f aca="false">'Import-dataset'!Y11</f>
        <v>942</v>
      </c>
    </row>
    <row r="240" customFormat="false" ht="15" hidden="false" customHeight="false" outlineLevel="0" collapsed="false">
      <c r="A240" s="0" t="s">
        <v>231</v>
      </c>
      <c r="B240" s="0" t="n">
        <v>2024</v>
      </c>
      <c r="C240" s="0" t="s">
        <v>363</v>
      </c>
      <c r="D240" s="0" t="s">
        <v>319</v>
      </c>
      <c r="E240" s="0" t="s">
        <v>364</v>
      </c>
      <c r="F240" s="0" t="s">
        <v>141</v>
      </c>
      <c r="G240" s="0" t="s">
        <v>255</v>
      </c>
      <c r="H240" s="6" t="n">
        <f aca="false">'Import-dataset'!Y12</f>
        <v>1006</v>
      </c>
    </row>
    <row r="241" customFormat="false" ht="15" hidden="false" customHeight="false" outlineLevel="0" collapsed="false">
      <c r="A241" s="0" t="s">
        <v>231</v>
      </c>
      <c r="B241" s="0" t="n">
        <v>2025</v>
      </c>
      <c r="C241" s="0" t="s">
        <v>363</v>
      </c>
      <c r="D241" s="0" t="s">
        <v>319</v>
      </c>
      <c r="E241" s="0" t="s">
        <v>364</v>
      </c>
      <c r="F241" s="0" t="s">
        <v>141</v>
      </c>
      <c r="G241" s="0" t="s">
        <v>255</v>
      </c>
      <c r="H241" s="6" t="n">
        <f aca="false">'Import-dataset'!Y13</f>
        <v>1030</v>
      </c>
    </row>
    <row r="242" customFormat="false" ht="15" hidden="false" customHeight="false" outlineLevel="0" collapsed="false">
      <c r="A242" s="0" t="s">
        <v>231</v>
      </c>
      <c r="B242" s="0" t="n">
        <v>2016</v>
      </c>
      <c r="C242" s="0" t="s">
        <v>365</v>
      </c>
      <c r="D242" s="0" t="s">
        <v>316</v>
      </c>
      <c r="E242" s="0" t="s">
        <v>366</v>
      </c>
      <c r="F242" s="0" t="s">
        <v>141</v>
      </c>
      <c r="G242" s="0" t="s">
        <v>256</v>
      </c>
      <c r="H242" s="6" t="n">
        <f aca="false">'Import-dataset'!Z4</f>
        <v>23604</v>
      </c>
    </row>
    <row r="243" customFormat="false" ht="15" hidden="false" customHeight="false" outlineLevel="0" collapsed="false">
      <c r="A243" s="0" t="s">
        <v>231</v>
      </c>
      <c r="B243" s="0" t="n">
        <v>2017</v>
      </c>
      <c r="C243" s="0" t="s">
        <v>365</v>
      </c>
      <c r="D243" s="0" t="s">
        <v>316</v>
      </c>
      <c r="E243" s="0" t="s">
        <v>366</v>
      </c>
      <c r="F243" s="0" t="s">
        <v>141</v>
      </c>
      <c r="G243" s="0" t="s">
        <v>256</v>
      </c>
      <c r="H243" s="6" t="n">
        <f aca="false">'Import-dataset'!Z5</f>
        <v>29805</v>
      </c>
    </row>
    <row r="244" customFormat="false" ht="15" hidden="false" customHeight="false" outlineLevel="0" collapsed="false">
      <c r="A244" s="0" t="s">
        <v>231</v>
      </c>
      <c r="B244" s="0" t="n">
        <v>2018</v>
      </c>
      <c r="C244" s="0" t="s">
        <v>365</v>
      </c>
      <c r="D244" s="0" t="s">
        <v>316</v>
      </c>
      <c r="E244" s="0" t="s">
        <v>366</v>
      </c>
      <c r="F244" s="0" t="s">
        <v>141</v>
      </c>
      <c r="G244" s="0" t="s">
        <v>256</v>
      </c>
      <c r="H244" s="6" t="n">
        <f aca="false">'Import-dataset'!Z6</f>
        <v>40512</v>
      </c>
    </row>
    <row r="245" customFormat="false" ht="15" hidden="false" customHeight="false" outlineLevel="0" collapsed="false">
      <c r="A245" s="0" t="s">
        <v>231</v>
      </c>
      <c r="B245" s="0" t="n">
        <v>2019</v>
      </c>
      <c r="C245" s="0" t="s">
        <v>365</v>
      </c>
      <c r="D245" s="0" t="s">
        <v>316</v>
      </c>
      <c r="E245" s="0" t="s">
        <v>366</v>
      </c>
      <c r="F245" s="0" t="s">
        <v>141</v>
      </c>
      <c r="G245" s="0" t="s">
        <v>256</v>
      </c>
      <c r="H245" s="6" t="n">
        <f aca="false">'Import-dataset'!Z7</f>
        <v>38794</v>
      </c>
    </row>
    <row r="246" customFormat="false" ht="15" hidden="false" customHeight="false" outlineLevel="0" collapsed="false">
      <c r="A246" s="0" t="s">
        <v>231</v>
      </c>
      <c r="B246" s="0" t="n">
        <v>2020</v>
      </c>
      <c r="C246" s="0" t="s">
        <v>365</v>
      </c>
      <c r="D246" s="0" t="s">
        <v>316</v>
      </c>
      <c r="E246" s="0" t="s">
        <v>366</v>
      </c>
      <c r="F246" s="0" t="s">
        <v>141</v>
      </c>
      <c r="G246" s="0" t="s">
        <v>256</v>
      </c>
      <c r="H246" s="6" t="n">
        <f aca="false">'Import-dataset'!Z8</f>
        <v>23108</v>
      </c>
    </row>
    <row r="247" customFormat="false" ht="15" hidden="false" customHeight="false" outlineLevel="0" collapsed="false">
      <c r="A247" s="0" t="s">
        <v>231</v>
      </c>
      <c r="B247" s="0" t="n">
        <v>2021</v>
      </c>
      <c r="C247" s="0" t="s">
        <v>365</v>
      </c>
      <c r="D247" s="0" t="s">
        <v>316</v>
      </c>
      <c r="E247" s="0" t="s">
        <v>366</v>
      </c>
      <c r="F247" s="0" t="s">
        <v>141</v>
      </c>
      <c r="G247" s="0" t="s">
        <v>256</v>
      </c>
      <c r="H247" s="6" t="n">
        <f aca="false">'Import-dataset'!Z9</f>
        <v>34552</v>
      </c>
    </row>
    <row r="248" customFormat="false" ht="15" hidden="false" customHeight="false" outlineLevel="0" collapsed="false">
      <c r="A248" s="0" t="s">
        <v>231</v>
      </c>
      <c r="B248" s="0" t="n">
        <v>2022</v>
      </c>
      <c r="C248" s="0" t="s">
        <v>365</v>
      </c>
      <c r="D248" s="0" t="s">
        <v>316</v>
      </c>
      <c r="E248" s="0" t="s">
        <v>366</v>
      </c>
      <c r="F248" s="0" t="s">
        <v>141</v>
      </c>
      <c r="G248" s="0" t="s">
        <v>256</v>
      </c>
      <c r="H248" s="6" t="n">
        <f aca="false">'Import-dataset'!Z10</f>
        <v>65806</v>
      </c>
    </row>
    <row r="249" customFormat="false" ht="15" hidden="false" customHeight="false" outlineLevel="0" collapsed="false">
      <c r="A249" s="0" t="s">
        <v>231</v>
      </c>
      <c r="B249" s="0" t="n">
        <v>2023</v>
      </c>
      <c r="C249" s="0" t="s">
        <v>365</v>
      </c>
      <c r="D249" s="0" t="s">
        <v>316</v>
      </c>
      <c r="E249" s="0" t="s">
        <v>366</v>
      </c>
      <c r="F249" s="0" t="s">
        <v>141</v>
      </c>
      <c r="G249" s="0" t="s">
        <v>256</v>
      </c>
      <c r="H249" s="6" t="n">
        <f aca="false">'Import-dataset'!Z11</f>
        <v>60651</v>
      </c>
    </row>
    <row r="250" customFormat="false" ht="15" hidden="false" customHeight="false" outlineLevel="0" collapsed="false">
      <c r="A250" s="0" t="s">
        <v>231</v>
      </c>
      <c r="B250" s="0" t="n">
        <v>2024</v>
      </c>
      <c r="C250" s="0" t="s">
        <v>365</v>
      </c>
      <c r="D250" s="0" t="s">
        <v>316</v>
      </c>
      <c r="E250" s="0" t="s">
        <v>366</v>
      </c>
      <c r="F250" s="0" t="s">
        <v>141</v>
      </c>
      <c r="G250" s="0" t="s">
        <v>256</v>
      </c>
      <c r="H250" s="6" t="n">
        <f aca="false">'Import-dataset'!Z12</f>
        <v>56749</v>
      </c>
    </row>
    <row r="251" customFormat="false" ht="15" hidden="false" customHeight="false" outlineLevel="0" collapsed="false">
      <c r="A251" s="0" t="s">
        <v>231</v>
      </c>
      <c r="B251" s="0" t="n">
        <v>2025</v>
      </c>
      <c r="C251" s="0" t="s">
        <v>365</v>
      </c>
      <c r="D251" s="0" t="s">
        <v>316</v>
      </c>
      <c r="E251" s="0" t="s">
        <v>366</v>
      </c>
      <c r="F251" s="0" t="s">
        <v>141</v>
      </c>
      <c r="G251" s="0" t="s">
        <v>256</v>
      </c>
      <c r="H251" s="6" t="n">
        <f aca="false">'Import-dataset'!Z13</f>
        <v>53258</v>
      </c>
    </row>
    <row r="252" customFormat="false" ht="15" hidden="false" customHeight="false" outlineLevel="0" collapsed="false">
      <c r="A252" s="0" t="s">
        <v>231</v>
      </c>
      <c r="B252" s="0" t="n">
        <v>2016</v>
      </c>
      <c r="C252" s="0" t="s">
        <v>367</v>
      </c>
      <c r="D252" s="0" t="s">
        <v>319</v>
      </c>
      <c r="E252" s="0" t="s">
        <v>368</v>
      </c>
      <c r="F252" s="0" t="s">
        <v>141</v>
      </c>
      <c r="G252" s="0" t="s">
        <v>257</v>
      </c>
      <c r="H252" s="6" t="n">
        <f aca="false">'Import-dataset'!AA4</f>
        <v>51</v>
      </c>
    </row>
    <row r="253" customFormat="false" ht="15" hidden="false" customHeight="false" outlineLevel="0" collapsed="false">
      <c r="A253" s="0" t="s">
        <v>231</v>
      </c>
      <c r="B253" s="0" t="n">
        <v>2017</v>
      </c>
      <c r="C253" s="0" t="s">
        <v>367</v>
      </c>
      <c r="D253" s="0" t="s">
        <v>319</v>
      </c>
      <c r="E253" s="0" t="s">
        <v>368</v>
      </c>
      <c r="F253" s="0" t="s">
        <v>141</v>
      </c>
      <c r="G253" s="0" t="s">
        <v>257</v>
      </c>
      <c r="H253" s="6" t="n">
        <f aca="false">'Import-dataset'!AA5</f>
        <v>139</v>
      </c>
    </row>
    <row r="254" customFormat="false" ht="15" hidden="false" customHeight="false" outlineLevel="0" collapsed="false">
      <c r="A254" s="0" t="s">
        <v>231</v>
      </c>
      <c r="B254" s="0" t="n">
        <v>2018</v>
      </c>
      <c r="C254" s="0" t="s">
        <v>367</v>
      </c>
      <c r="D254" s="0" t="s">
        <v>319</v>
      </c>
      <c r="E254" s="0" t="s">
        <v>368</v>
      </c>
      <c r="F254" s="0" t="s">
        <v>141</v>
      </c>
      <c r="G254" s="0" t="s">
        <v>257</v>
      </c>
      <c r="H254" s="6" t="n">
        <f aca="false">'Import-dataset'!AA6</f>
        <v>178</v>
      </c>
    </row>
    <row r="255" customFormat="false" ht="15" hidden="false" customHeight="false" outlineLevel="0" collapsed="false">
      <c r="A255" s="0" t="s">
        <v>231</v>
      </c>
      <c r="B255" s="0" t="n">
        <v>2019</v>
      </c>
      <c r="C255" s="0" t="s">
        <v>367</v>
      </c>
      <c r="D255" s="0" t="s">
        <v>319</v>
      </c>
      <c r="E255" s="0" t="s">
        <v>368</v>
      </c>
      <c r="F255" s="0" t="s">
        <v>141</v>
      </c>
      <c r="G255" s="0" t="s">
        <v>257</v>
      </c>
      <c r="H255" s="6" t="n">
        <f aca="false">'Import-dataset'!AA7</f>
        <v>203</v>
      </c>
    </row>
    <row r="256" customFormat="false" ht="15" hidden="false" customHeight="false" outlineLevel="0" collapsed="false">
      <c r="A256" s="0" t="s">
        <v>231</v>
      </c>
      <c r="B256" s="0" t="n">
        <v>2020</v>
      </c>
      <c r="C256" s="0" t="s">
        <v>367</v>
      </c>
      <c r="D256" s="0" t="s">
        <v>319</v>
      </c>
      <c r="E256" s="0" t="s">
        <v>368</v>
      </c>
      <c r="F256" s="0" t="s">
        <v>141</v>
      </c>
      <c r="G256" s="0" t="s">
        <v>257</v>
      </c>
      <c r="H256" s="6" t="n">
        <f aca="false">'Import-dataset'!AA8</f>
        <v>148</v>
      </c>
    </row>
    <row r="257" customFormat="false" ht="15" hidden="false" customHeight="false" outlineLevel="0" collapsed="false">
      <c r="A257" s="0" t="s">
        <v>231</v>
      </c>
      <c r="B257" s="0" t="n">
        <v>2021</v>
      </c>
      <c r="C257" s="0" t="s">
        <v>367</v>
      </c>
      <c r="D257" s="0" t="s">
        <v>319</v>
      </c>
      <c r="E257" s="0" t="s">
        <v>368</v>
      </c>
      <c r="F257" s="0" t="s">
        <v>141</v>
      </c>
      <c r="G257" s="0" t="s">
        <v>257</v>
      </c>
      <c r="H257" s="6" t="n">
        <f aca="false">'Import-dataset'!AA9</f>
        <v>200</v>
      </c>
    </row>
    <row r="258" customFormat="false" ht="15" hidden="false" customHeight="false" outlineLevel="0" collapsed="false">
      <c r="A258" s="0" t="s">
        <v>231</v>
      </c>
      <c r="B258" s="0" t="n">
        <v>2022</v>
      </c>
      <c r="C258" s="0" t="s">
        <v>367</v>
      </c>
      <c r="D258" s="0" t="s">
        <v>319</v>
      </c>
      <c r="E258" s="0" t="s">
        <v>368</v>
      </c>
      <c r="F258" s="0" t="s">
        <v>141</v>
      </c>
      <c r="G258" s="0" t="s">
        <v>257</v>
      </c>
      <c r="H258" s="6" t="n">
        <f aca="false">'Import-dataset'!AA10</f>
        <v>375</v>
      </c>
    </row>
    <row r="259" customFormat="false" ht="15" hidden="false" customHeight="false" outlineLevel="0" collapsed="false">
      <c r="A259" s="0" t="s">
        <v>231</v>
      </c>
      <c r="B259" s="0" t="n">
        <v>2023</v>
      </c>
      <c r="C259" s="0" t="s">
        <v>367</v>
      </c>
      <c r="D259" s="0" t="s">
        <v>319</v>
      </c>
      <c r="E259" s="0" t="s">
        <v>368</v>
      </c>
      <c r="F259" s="0" t="s">
        <v>141</v>
      </c>
      <c r="G259" s="0" t="s">
        <v>257</v>
      </c>
      <c r="H259" s="6" t="n">
        <f aca="false">'Import-dataset'!AA11</f>
        <v>306</v>
      </c>
    </row>
    <row r="260" customFormat="false" ht="15" hidden="false" customHeight="false" outlineLevel="0" collapsed="false">
      <c r="A260" s="0" t="s">
        <v>231</v>
      </c>
      <c r="B260" s="0" t="n">
        <v>2024</v>
      </c>
      <c r="C260" s="0" t="s">
        <v>367</v>
      </c>
      <c r="D260" s="0" t="s">
        <v>319</v>
      </c>
      <c r="E260" s="0" t="s">
        <v>368</v>
      </c>
      <c r="F260" s="0" t="s">
        <v>141</v>
      </c>
      <c r="G260" s="0" t="s">
        <v>257</v>
      </c>
      <c r="H260" s="6" t="n">
        <f aca="false">'Import-dataset'!AA12</f>
        <v>260</v>
      </c>
    </row>
    <row r="261" customFormat="false" ht="15" hidden="false" customHeight="false" outlineLevel="0" collapsed="false">
      <c r="A261" s="0" t="s">
        <v>231</v>
      </c>
      <c r="B261" s="0" t="n">
        <v>2025</v>
      </c>
      <c r="C261" s="0" t="s">
        <v>367</v>
      </c>
      <c r="D261" s="0" t="s">
        <v>319</v>
      </c>
      <c r="E261" s="0" t="s">
        <v>368</v>
      </c>
      <c r="F261" s="0" t="s">
        <v>141</v>
      </c>
      <c r="G261" s="0" t="s">
        <v>257</v>
      </c>
      <c r="H261" s="6" t="n">
        <f aca="false">'Import-dataset'!AA13</f>
        <v>197</v>
      </c>
    </row>
    <row r="262" customFormat="false" ht="15" hidden="false" customHeight="false" outlineLevel="0" collapsed="false">
      <c r="A262" s="0" t="s">
        <v>231</v>
      </c>
      <c r="B262" s="0" t="n">
        <v>2016</v>
      </c>
      <c r="C262" s="0" t="s">
        <v>369</v>
      </c>
      <c r="D262" s="0" t="s">
        <v>319</v>
      </c>
      <c r="E262" s="0" t="s">
        <v>370</v>
      </c>
      <c r="F262" s="0" t="s">
        <v>141</v>
      </c>
      <c r="G262" s="0" t="s">
        <v>258</v>
      </c>
      <c r="H262" s="6" t="n">
        <f aca="false">'Import-dataset'!AB4</f>
        <v>23315</v>
      </c>
    </row>
    <row r="263" customFormat="false" ht="15" hidden="false" customHeight="false" outlineLevel="0" collapsed="false">
      <c r="A263" s="0" t="s">
        <v>231</v>
      </c>
      <c r="B263" s="0" t="n">
        <v>2017</v>
      </c>
      <c r="C263" s="0" t="s">
        <v>369</v>
      </c>
      <c r="D263" s="0" t="s">
        <v>319</v>
      </c>
      <c r="E263" s="0" t="s">
        <v>370</v>
      </c>
      <c r="F263" s="0" t="s">
        <v>141</v>
      </c>
      <c r="G263" s="0" t="s">
        <v>258</v>
      </c>
      <c r="H263" s="6" t="n">
        <f aca="false">'Import-dataset'!AB5</f>
        <v>29365</v>
      </c>
    </row>
    <row r="264" customFormat="false" ht="15" hidden="false" customHeight="false" outlineLevel="0" collapsed="false">
      <c r="A264" s="0" t="s">
        <v>231</v>
      </c>
      <c r="B264" s="0" t="n">
        <v>2018</v>
      </c>
      <c r="C264" s="0" t="s">
        <v>369</v>
      </c>
      <c r="D264" s="0" t="s">
        <v>319</v>
      </c>
      <c r="E264" s="0" t="s">
        <v>370</v>
      </c>
      <c r="F264" s="0" t="s">
        <v>141</v>
      </c>
      <c r="G264" s="0" t="s">
        <v>258</v>
      </c>
      <c r="H264" s="6" t="n">
        <f aca="false">'Import-dataset'!AB6</f>
        <v>39947</v>
      </c>
    </row>
    <row r="265" customFormat="false" ht="15" hidden="false" customHeight="false" outlineLevel="0" collapsed="false">
      <c r="A265" s="0" t="s">
        <v>231</v>
      </c>
      <c r="B265" s="0" t="n">
        <v>2019</v>
      </c>
      <c r="C265" s="0" t="s">
        <v>369</v>
      </c>
      <c r="D265" s="0" t="s">
        <v>319</v>
      </c>
      <c r="E265" s="0" t="s">
        <v>370</v>
      </c>
      <c r="F265" s="0" t="s">
        <v>141</v>
      </c>
      <c r="G265" s="0" t="s">
        <v>258</v>
      </c>
      <c r="H265" s="6" t="n">
        <f aca="false">'Import-dataset'!AB7</f>
        <v>38357</v>
      </c>
    </row>
    <row r="266" customFormat="false" ht="15" hidden="false" customHeight="false" outlineLevel="0" collapsed="false">
      <c r="A266" s="0" t="s">
        <v>231</v>
      </c>
      <c r="B266" s="0" t="n">
        <v>2020</v>
      </c>
      <c r="C266" s="0" t="s">
        <v>369</v>
      </c>
      <c r="D266" s="0" t="s">
        <v>319</v>
      </c>
      <c r="E266" s="0" t="s">
        <v>370</v>
      </c>
      <c r="F266" s="0" t="s">
        <v>141</v>
      </c>
      <c r="G266" s="0" t="s">
        <v>258</v>
      </c>
      <c r="H266" s="6" t="n">
        <f aca="false">'Import-dataset'!AB8</f>
        <v>22720</v>
      </c>
    </row>
    <row r="267" customFormat="false" ht="15" hidden="false" customHeight="false" outlineLevel="0" collapsed="false">
      <c r="A267" s="0" t="s">
        <v>231</v>
      </c>
      <c r="B267" s="0" t="n">
        <v>2021</v>
      </c>
      <c r="C267" s="0" t="s">
        <v>369</v>
      </c>
      <c r="D267" s="0" t="s">
        <v>319</v>
      </c>
      <c r="E267" s="0" t="s">
        <v>370</v>
      </c>
      <c r="F267" s="0" t="s">
        <v>141</v>
      </c>
      <c r="G267" s="0" t="s">
        <v>258</v>
      </c>
      <c r="H267" s="6" t="n">
        <f aca="false">'Import-dataset'!AB9</f>
        <v>34044</v>
      </c>
    </row>
    <row r="268" customFormat="false" ht="15" hidden="false" customHeight="false" outlineLevel="0" collapsed="false">
      <c r="A268" s="0" t="s">
        <v>231</v>
      </c>
      <c r="B268" s="0" t="n">
        <v>2022</v>
      </c>
      <c r="C268" s="0" t="s">
        <v>369</v>
      </c>
      <c r="D268" s="0" t="s">
        <v>319</v>
      </c>
      <c r="E268" s="0" t="s">
        <v>370</v>
      </c>
      <c r="F268" s="0" t="s">
        <v>141</v>
      </c>
      <c r="G268" s="0" t="s">
        <v>258</v>
      </c>
      <c r="H268" s="6" t="n">
        <f aca="false">'Import-dataset'!AB10</f>
        <v>65082</v>
      </c>
    </row>
    <row r="269" customFormat="false" ht="15" hidden="false" customHeight="false" outlineLevel="0" collapsed="false">
      <c r="A269" s="0" t="s">
        <v>231</v>
      </c>
      <c r="B269" s="0" t="n">
        <v>2023</v>
      </c>
      <c r="C269" s="0" t="s">
        <v>369</v>
      </c>
      <c r="D269" s="0" t="s">
        <v>319</v>
      </c>
      <c r="E269" s="0" t="s">
        <v>370</v>
      </c>
      <c r="F269" s="0" t="s">
        <v>141</v>
      </c>
      <c r="G269" s="0" t="s">
        <v>258</v>
      </c>
      <c r="H269" s="6" t="n">
        <f aca="false">'Import-dataset'!AB11</f>
        <v>60057</v>
      </c>
    </row>
    <row r="270" customFormat="false" ht="15" hidden="false" customHeight="false" outlineLevel="0" collapsed="false">
      <c r="A270" s="0" t="s">
        <v>231</v>
      </c>
      <c r="B270" s="0" t="n">
        <v>2024</v>
      </c>
      <c r="C270" s="0" t="s">
        <v>369</v>
      </c>
      <c r="D270" s="0" t="s">
        <v>319</v>
      </c>
      <c r="E270" s="0" t="s">
        <v>370</v>
      </c>
      <c r="F270" s="0" t="s">
        <v>141</v>
      </c>
      <c r="G270" s="0" t="s">
        <v>258</v>
      </c>
      <c r="H270" s="6" t="n">
        <f aca="false">'Import-dataset'!AB12</f>
        <v>56183</v>
      </c>
    </row>
    <row r="271" customFormat="false" ht="15" hidden="false" customHeight="false" outlineLevel="0" collapsed="false">
      <c r="A271" s="0" t="s">
        <v>231</v>
      </c>
      <c r="B271" s="0" t="n">
        <v>2025</v>
      </c>
      <c r="C271" s="0" t="s">
        <v>369</v>
      </c>
      <c r="D271" s="0" t="s">
        <v>319</v>
      </c>
      <c r="E271" s="0" t="s">
        <v>370</v>
      </c>
      <c r="F271" s="0" t="s">
        <v>141</v>
      </c>
      <c r="G271" s="0" t="s">
        <v>258</v>
      </c>
      <c r="H271" s="6" t="n">
        <f aca="false">'Import-dataset'!AB13</f>
        <v>52742</v>
      </c>
    </row>
    <row r="272" customFormat="false" ht="15" hidden="false" customHeight="false" outlineLevel="0" collapsed="false">
      <c r="A272" s="0" t="s">
        <v>231</v>
      </c>
      <c r="B272" s="0" t="n">
        <v>2016</v>
      </c>
      <c r="C272" s="0" t="s">
        <v>371</v>
      </c>
      <c r="D272" s="0" t="s">
        <v>319</v>
      </c>
      <c r="E272" s="0" t="s">
        <v>372</v>
      </c>
      <c r="F272" s="0" t="s">
        <v>141</v>
      </c>
      <c r="G272" s="0" t="s">
        <v>259</v>
      </c>
      <c r="H272" s="6" t="n">
        <f aca="false">'Import-dataset'!AC4</f>
        <v>238</v>
      </c>
    </row>
    <row r="273" customFormat="false" ht="15" hidden="false" customHeight="false" outlineLevel="0" collapsed="false">
      <c r="A273" s="0" t="s">
        <v>231</v>
      </c>
      <c r="B273" s="0" t="n">
        <v>2017</v>
      </c>
      <c r="C273" s="0" t="s">
        <v>371</v>
      </c>
      <c r="D273" s="0" t="s">
        <v>319</v>
      </c>
      <c r="E273" s="0" t="s">
        <v>372</v>
      </c>
      <c r="F273" s="0" t="s">
        <v>141</v>
      </c>
      <c r="G273" s="0" t="s">
        <v>259</v>
      </c>
      <c r="H273" s="6" t="n">
        <f aca="false">'Import-dataset'!AC5</f>
        <v>303</v>
      </c>
    </row>
    <row r="274" customFormat="false" ht="15" hidden="false" customHeight="false" outlineLevel="0" collapsed="false">
      <c r="A274" s="0" t="s">
        <v>231</v>
      </c>
      <c r="B274" s="0" t="n">
        <v>2018</v>
      </c>
      <c r="C274" s="0" t="s">
        <v>371</v>
      </c>
      <c r="D274" s="0" t="s">
        <v>319</v>
      </c>
      <c r="E274" s="0" t="s">
        <v>372</v>
      </c>
      <c r="F274" s="0" t="s">
        <v>141</v>
      </c>
      <c r="G274" s="0" t="s">
        <v>259</v>
      </c>
      <c r="H274" s="6" t="n">
        <f aca="false">'Import-dataset'!AC6</f>
        <v>390</v>
      </c>
    </row>
    <row r="275" customFormat="false" ht="15" hidden="false" customHeight="false" outlineLevel="0" collapsed="false">
      <c r="A275" s="0" t="s">
        <v>231</v>
      </c>
      <c r="B275" s="0" t="n">
        <v>2019</v>
      </c>
      <c r="C275" s="0" t="s">
        <v>371</v>
      </c>
      <c r="D275" s="0" t="s">
        <v>319</v>
      </c>
      <c r="E275" s="0" t="s">
        <v>372</v>
      </c>
      <c r="F275" s="0" t="s">
        <v>141</v>
      </c>
      <c r="G275" s="0" t="s">
        <v>259</v>
      </c>
      <c r="H275" s="6" t="n">
        <f aca="false">'Import-dataset'!AC7</f>
        <v>236</v>
      </c>
    </row>
    <row r="276" customFormat="false" ht="15" hidden="false" customHeight="false" outlineLevel="0" collapsed="false">
      <c r="A276" s="0" t="s">
        <v>231</v>
      </c>
      <c r="B276" s="0" t="n">
        <v>2020</v>
      </c>
      <c r="C276" s="0" t="s">
        <v>371</v>
      </c>
      <c r="D276" s="0" t="s">
        <v>319</v>
      </c>
      <c r="E276" s="0" t="s">
        <v>372</v>
      </c>
      <c r="F276" s="0" t="s">
        <v>141</v>
      </c>
      <c r="G276" s="0" t="s">
        <v>259</v>
      </c>
      <c r="H276" s="6" t="n">
        <f aca="false">'Import-dataset'!AC8</f>
        <v>242</v>
      </c>
    </row>
    <row r="277" customFormat="false" ht="15" hidden="false" customHeight="false" outlineLevel="0" collapsed="false">
      <c r="A277" s="0" t="s">
        <v>231</v>
      </c>
      <c r="B277" s="0" t="n">
        <v>2021</v>
      </c>
      <c r="C277" s="0" t="s">
        <v>371</v>
      </c>
      <c r="D277" s="0" t="s">
        <v>319</v>
      </c>
      <c r="E277" s="0" t="s">
        <v>372</v>
      </c>
      <c r="F277" s="0" t="s">
        <v>141</v>
      </c>
      <c r="G277" s="0" t="s">
        <v>259</v>
      </c>
      <c r="H277" s="6" t="n">
        <f aca="false">'Import-dataset'!AC9</f>
        <v>310</v>
      </c>
    </row>
    <row r="278" customFormat="false" ht="15" hidden="false" customHeight="false" outlineLevel="0" collapsed="false">
      <c r="A278" s="0" t="s">
        <v>231</v>
      </c>
      <c r="B278" s="0" t="n">
        <v>2022</v>
      </c>
      <c r="C278" s="0" t="s">
        <v>371</v>
      </c>
      <c r="D278" s="0" t="s">
        <v>319</v>
      </c>
      <c r="E278" s="0" t="s">
        <v>372</v>
      </c>
      <c r="F278" s="0" t="s">
        <v>141</v>
      </c>
      <c r="G278" s="0" t="s">
        <v>259</v>
      </c>
      <c r="H278" s="6" t="n">
        <f aca="false">'Import-dataset'!AC10</f>
        <v>352</v>
      </c>
    </row>
    <row r="279" customFormat="false" ht="15" hidden="false" customHeight="false" outlineLevel="0" collapsed="false">
      <c r="A279" s="0" t="s">
        <v>231</v>
      </c>
      <c r="B279" s="0" t="n">
        <v>2023</v>
      </c>
      <c r="C279" s="0" t="s">
        <v>371</v>
      </c>
      <c r="D279" s="0" t="s">
        <v>319</v>
      </c>
      <c r="E279" s="0" t="s">
        <v>372</v>
      </c>
      <c r="F279" s="0" t="s">
        <v>141</v>
      </c>
      <c r="G279" s="0" t="s">
        <v>259</v>
      </c>
      <c r="H279" s="6" t="n">
        <f aca="false">'Import-dataset'!AC11</f>
        <v>293</v>
      </c>
    </row>
    <row r="280" customFormat="false" ht="15" hidden="false" customHeight="false" outlineLevel="0" collapsed="false">
      <c r="A280" s="0" t="s">
        <v>231</v>
      </c>
      <c r="B280" s="0" t="n">
        <v>2024</v>
      </c>
      <c r="C280" s="0" t="s">
        <v>371</v>
      </c>
      <c r="D280" s="0" t="s">
        <v>319</v>
      </c>
      <c r="E280" s="0" t="s">
        <v>372</v>
      </c>
      <c r="F280" s="0" t="s">
        <v>141</v>
      </c>
      <c r="G280" s="0" t="s">
        <v>259</v>
      </c>
      <c r="H280" s="6" t="n">
        <f aca="false">'Import-dataset'!AC12</f>
        <v>306</v>
      </c>
    </row>
    <row r="281" customFormat="false" ht="15" hidden="false" customHeight="false" outlineLevel="0" collapsed="false">
      <c r="A281" s="0" t="s">
        <v>231</v>
      </c>
      <c r="B281" s="0" t="n">
        <v>2025</v>
      </c>
      <c r="C281" s="0" t="s">
        <v>371</v>
      </c>
      <c r="D281" s="0" t="s">
        <v>319</v>
      </c>
      <c r="E281" s="0" t="s">
        <v>372</v>
      </c>
      <c r="F281" s="0" t="s">
        <v>141</v>
      </c>
      <c r="G281" s="0" t="s">
        <v>259</v>
      </c>
      <c r="H281" s="6" t="n">
        <f aca="false">'Import-dataset'!AC13</f>
        <v>317</v>
      </c>
    </row>
    <row r="282" customFormat="false" ht="15" hidden="false" customHeight="false" outlineLevel="0" collapsed="false">
      <c r="A282" s="0" t="s">
        <v>231</v>
      </c>
      <c r="B282" s="0" t="n">
        <v>2016</v>
      </c>
      <c r="C282" s="0" t="s">
        <v>373</v>
      </c>
      <c r="D282" s="0" t="s">
        <v>316</v>
      </c>
      <c r="E282" s="0" t="s">
        <v>374</v>
      </c>
      <c r="F282" s="0" t="s">
        <v>141</v>
      </c>
      <c r="G282" s="0" t="s">
        <v>260</v>
      </c>
      <c r="H282" s="6" t="n">
        <f aca="false">'Import-dataset'!AD4</f>
        <v>700</v>
      </c>
    </row>
    <row r="283" customFormat="false" ht="15" hidden="false" customHeight="false" outlineLevel="0" collapsed="false">
      <c r="A283" s="0" t="s">
        <v>231</v>
      </c>
      <c r="B283" s="0" t="n">
        <v>2017</v>
      </c>
      <c r="C283" s="0" t="s">
        <v>373</v>
      </c>
      <c r="D283" s="0" t="s">
        <v>316</v>
      </c>
      <c r="E283" s="0" t="s">
        <v>374</v>
      </c>
      <c r="F283" s="0" t="s">
        <v>141</v>
      </c>
      <c r="G283" s="0" t="s">
        <v>260</v>
      </c>
      <c r="H283" s="6" t="n">
        <f aca="false">'Import-dataset'!AD5</f>
        <v>702</v>
      </c>
    </row>
    <row r="284" customFormat="false" ht="15" hidden="false" customHeight="false" outlineLevel="0" collapsed="false">
      <c r="A284" s="0" t="s">
        <v>231</v>
      </c>
      <c r="B284" s="0" t="n">
        <v>2018</v>
      </c>
      <c r="C284" s="0" t="s">
        <v>373</v>
      </c>
      <c r="D284" s="0" t="s">
        <v>316</v>
      </c>
      <c r="E284" s="0" t="s">
        <v>374</v>
      </c>
      <c r="F284" s="0" t="s">
        <v>141</v>
      </c>
      <c r="G284" s="0" t="s">
        <v>260</v>
      </c>
      <c r="H284" s="6" t="n">
        <f aca="false">'Import-dataset'!AD6</f>
        <v>756</v>
      </c>
    </row>
    <row r="285" customFormat="false" ht="15" hidden="false" customHeight="false" outlineLevel="0" collapsed="false">
      <c r="A285" s="0" t="s">
        <v>231</v>
      </c>
      <c r="B285" s="0" t="n">
        <v>2019</v>
      </c>
      <c r="C285" s="0" t="s">
        <v>373</v>
      </c>
      <c r="D285" s="0" t="s">
        <v>316</v>
      </c>
      <c r="E285" s="0" t="s">
        <v>374</v>
      </c>
      <c r="F285" s="0" t="s">
        <v>141</v>
      </c>
      <c r="G285" s="0" t="s">
        <v>260</v>
      </c>
      <c r="H285" s="6" t="n">
        <f aca="false">'Import-dataset'!AD7</f>
        <v>725</v>
      </c>
    </row>
    <row r="286" customFormat="false" ht="15" hidden="false" customHeight="false" outlineLevel="0" collapsed="false">
      <c r="A286" s="0" t="s">
        <v>231</v>
      </c>
      <c r="B286" s="0" t="n">
        <v>2020</v>
      </c>
      <c r="C286" s="0" t="s">
        <v>373</v>
      </c>
      <c r="D286" s="0" t="s">
        <v>316</v>
      </c>
      <c r="E286" s="0" t="s">
        <v>374</v>
      </c>
      <c r="F286" s="0" t="s">
        <v>141</v>
      </c>
      <c r="G286" s="0" t="s">
        <v>260</v>
      </c>
      <c r="H286" s="6" t="n">
        <f aca="false">'Import-dataset'!AD8</f>
        <v>766</v>
      </c>
    </row>
    <row r="287" customFormat="false" ht="15" hidden="false" customHeight="false" outlineLevel="0" collapsed="false">
      <c r="A287" s="0" t="s">
        <v>231</v>
      </c>
      <c r="B287" s="0" t="n">
        <v>2021</v>
      </c>
      <c r="C287" s="0" t="s">
        <v>373</v>
      </c>
      <c r="D287" s="0" t="s">
        <v>316</v>
      </c>
      <c r="E287" s="0" t="s">
        <v>374</v>
      </c>
      <c r="F287" s="0" t="s">
        <v>141</v>
      </c>
      <c r="G287" s="0" t="s">
        <v>260</v>
      </c>
      <c r="H287" s="6" t="n">
        <f aca="false">'Import-dataset'!AD9</f>
        <v>831</v>
      </c>
    </row>
    <row r="288" customFormat="false" ht="15" hidden="false" customHeight="false" outlineLevel="0" collapsed="false">
      <c r="A288" s="0" t="s">
        <v>231</v>
      </c>
      <c r="B288" s="0" t="n">
        <v>2022</v>
      </c>
      <c r="C288" s="0" t="s">
        <v>373</v>
      </c>
      <c r="D288" s="0" t="s">
        <v>316</v>
      </c>
      <c r="E288" s="0" t="s">
        <v>374</v>
      </c>
      <c r="F288" s="0" t="s">
        <v>141</v>
      </c>
      <c r="G288" s="0" t="s">
        <v>260</v>
      </c>
      <c r="H288" s="6" t="n">
        <f aca="false">'Import-dataset'!AD10</f>
        <v>1094</v>
      </c>
    </row>
    <row r="289" customFormat="false" ht="15" hidden="false" customHeight="false" outlineLevel="0" collapsed="false">
      <c r="A289" s="0" t="s">
        <v>231</v>
      </c>
      <c r="B289" s="0" t="n">
        <v>2023</v>
      </c>
      <c r="C289" s="0" t="s">
        <v>373</v>
      </c>
      <c r="D289" s="0" t="s">
        <v>316</v>
      </c>
      <c r="E289" s="0" t="s">
        <v>374</v>
      </c>
      <c r="F289" s="0" t="s">
        <v>141</v>
      </c>
      <c r="G289" s="0" t="s">
        <v>260</v>
      </c>
      <c r="H289" s="6" t="n">
        <f aca="false">'Import-dataset'!AD11</f>
        <v>988</v>
      </c>
    </row>
    <row r="290" customFormat="false" ht="15" hidden="false" customHeight="false" outlineLevel="0" collapsed="false">
      <c r="A290" s="0" t="s">
        <v>231</v>
      </c>
      <c r="B290" s="0" t="n">
        <v>2024</v>
      </c>
      <c r="C290" s="0" t="s">
        <v>373</v>
      </c>
      <c r="D290" s="0" t="s">
        <v>316</v>
      </c>
      <c r="E290" s="0" t="s">
        <v>374</v>
      </c>
      <c r="F290" s="0" t="s">
        <v>141</v>
      </c>
      <c r="G290" s="0" t="s">
        <v>260</v>
      </c>
      <c r="H290" s="6" t="n">
        <f aca="false">'Import-dataset'!AD12</f>
        <v>1257</v>
      </c>
    </row>
    <row r="291" customFormat="false" ht="15" hidden="false" customHeight="false" outlineLevel="0" collapsed="false">
      <c r="A291" s="0" t="s">
        <v>231</v>
      </c>
      <c r="B291" s="0" t="n">
        <v>2025</v>
      </c>
      <c r="C291" s="0" t="s">
        <v>373</v>
      </c>
      <c r="D291" s="0" t="s">
        <v>316</v>
      </c>
      <c r="E291" s="0" t="s">
        <v>374</v>
      </c>
      <c r="F291" s="0" t="s">
        <v>141</v>
      </c>
      <c r="G291" s="0" t="s">
        <v>260</v>
      </c>
      <c r="H291" s="6" t="n">
        <f aca="false">'Import-dataset'!AD13</f>
        <v>1282</v>
      </c>
    </row>
    <row r="292" customFormat="false" ht="15" hidden="false" customHeight="false" outlineLevel="0" collapsed="false">
      <c r="A292" s="0" t="s">
        <v>231</v>
      </c>
      <c r="B292" s="0" t="n">
        <v>2016</v>
      </c>
      <c r="C292" s="0" t="s">
        <v>375</v>
      </c>
      <c r="D292" s="0" t="s">
        <v>319</v>
      </c>
      <c r="E292" s="0" t="s">
        <v>376</v>
      </c>
      <c r="F292" s="0" t="s">
        <v>141</v>
      </c>
      <c r="G292" s="0" t="s">
        <v>261</v>
      </c>
      <c r="H292" s="6" t="n">
        <f aca="false">'Import-dataset'!AE4</f>
        <v>61</v>
      </c>
    </row>
    <row r="293" customFormat="false" ht="15" hidden="false" customHeight="false" outlineLevel="0" collapsed="false">
      <c r="A293" s="0" t="s">
        <v>231</v>
      </c>
      <c r="B293" s="0" t="n">
        <v>2017</v>
      </c>
      <c r="C293" s="0" t="s">
        <v>375</v>
      </c>
      <c r="D293" s="0" t="s">
        <v>319</v>
      </c>
      <c r="E293" s="0" t="s">
        <v>376</v>
      </c>
      <c r="F293" s="0" t="s">
        <v>141</v>
      </c>
      <c r="G293" s="0" t="s">
        <v>261</v>
      </c>
      <c r="H293" s="6" t="n">
        <f aca="false">'Import-dataset'!AE5</f>
        <v>56</v>
      </c>
    </row>
    <row r="294" customFormat="false" ht="15" hidden="false" customHeight="false" outlineLevel="0" collapsed="false">
      <c r="A294" s="0" t="s">
        <v>231</v>
      </c>
      <c r="B294" s="0" t="n">
        <v>2018</v>
      </c>
      <c r="C294" s="0" t="s">
        <v>375</v>
      </c>
      <c r="D294" s="0" t="s">
        <v>319</v>
      </c>
      <c r="E294" s="0" t="s">
        <v>376</v>
      </c>
      <c r="F294" s="0" t="s">
        <v>141</v>
      </c>
      <c r="G294" s="0" t="s">
        <v>261</v>
      </c>
      <c r="H294" s="6" t="n">
        <f aca="false">'Import-dataset'!AE6</f>
        <v>70</v>
      </c>
    </row>
    <row r="295" customFormat="false" ht="15" hidden="false" customHeight="false" outlineLevel="0" collapsed="false">
      <c r="A295" s="0" t="s">
        <v>231</v>
      </c>
      <c r="B295" s="0" t="n">
        <v>2019</v>
      </c>
      <c r="C295" s="0" t="s">
        <v>375</v>
      </c>
      <c r="D295" s="0" t="s">
        <v>319</v>
      </c>
      <c r="E295" s="0" t="s">
        <v>376</v>
      </c>
      <c r="F295" s="0" t="s">
        <v>141</v>
      </c>
      <c r="G295" s="0" t="s">
        <v>261</v>
      </c>
      <c r="H295" s="6" t="n">
        <f aca="false">'Import-dataset'!AE7</f>
        <v>83</v>
      </c>
    </row>
    <row r="296" customFormat="false" ht="15" hidden="false" customHeight="false" outlineLevel="0" collapsed="false">
      <c r="A296" s="0" t="s">
        <v>231</v>
      </c>
      <c r="B296" s="0" t="n">
        <v>2020</v>
      </c>
      <c r="C296" s="0" t="s">
        <v>375</v>
      </c>
      <c r="D296" s="0" t="s">
        <v>319</v>
      </c>
      <c r="E296" s="0" t="s">
        <v>376</v>
      </c>
      <c r="F296" s="0" t="s">
        <v>141</v>
      </c>
      <c r="G296" s="0" t="s">
        <v>261</v>
      </c>
      <c r="H296" s="6" t="n">
        <f aca="false">'Import-dataset'!AE8</f>
        <v>85</v>
      </c>
    </row>
    <row r="297" customFormat="false" ht="15" hidden="false" customHeight="false" outlineLevel="0" collapsed="false">
      <c r="A297" s="0" t="s">
        <v>231</v>
      </c>
      <c r="B297" s="0" t="n">
        <v>2021</v>
      </c>
      <c r="C297" s="0" t="s">
        <v>375</v>
      </c>
      <c r="D297" s="0" t="s">
        <v>319</v>
      </c>
      <c r="E297" s="0" t="s">
        <v>376</v>
      </c>
      <c r="F297" s="0" t="s">
        <v>141</v>
      </c>
      <c r="G297" s="0" t="s">
        <v>261</v>
      </c>
      <c r="H297" s="6" t="n">
        <f aca="false">'Import-dataset'!AE9</f>
        <v>90</v>
      </c>
    </row>
    <row r="298" customFormat="false" ht="15" hidden="false" customHeight="false" outlineLevel="0" collapsed="false">
      <c r="A298" s="0" t="s">
        <v>231</v>
      </c>
      <c r="B298" s="0" t="n">
        <v>2022</v>
      </c>
      <c r="C298" s="0" t="s">
        <v>375</v>
      </c>
      <c r="D298" s="0" t="s">
        <v>319</v>
      </c>
      <c r="E298" s="0" t="s">
        <v>376</v>
      </c>
      <c r="F298" s="0" t="s">
        <v>141</v>
      </c>
      <c r="G298" s="0" t="s">
        <v>261</v>
      </c>
      <c r="H298" s="6" t="n">
        <f aca="false">'Import-dataset'!AE10</f>
        <v>128</v>
      </c>
    </row>
    <row r="299" customFormat="false" ht="15" hidden="false" customHeight="false" outlineLevel="0" collapsed="false">
      <c r="A299" s="0" t="s">
        <v>231</v>
      </c>
      <c r="B299" s="0" t="n">
        <v>2023</v>
      </c>
      <c r="C299" s="0" t="s">
        <v>375</v>
      </c>
      <c r="D299" s="0" t="s">
        <v>319</v>
      </c>
      <c r="E299" s="0" t="s">
        <v>376</v>
      </c>
      <c r="F299" s="0" t="s">
        <v>141</v>
      </c>
      <c r="G299" s="0" t="s">
        <v>261</v>
      </c>
      <c r="H299" s="6" t="n">
        <f aca="false">'Import-dataset'!AE11</f>
        <v>161</v>
      </c>
    </row>
    <row r="300" customFormat="false" ht="15" hidden="false" customHeight="false" outlineLevel="0" collapsed="false">
      <c r="A300" s="0" t="s">
        <v>231</v>
      </c>
      <c r="B300" s="0" t="n">
        <v>2024</v>
      </c>
      <c r="C300" s="0" t="s">
        <v>375</v>
      </c>
      <c r="D300" s="0" t="s">
        <v>319</v>
      </c>
      <c r="E300" s="0" t="s">
        <v>376</v>
      </c>
      <c r="F300" s="0" t="s">
        <v>141</v>
      </c>
      <c r="G300" s="0" t="s">
        <v>261</v>
      </c>
      <c r="H300" s="6" t="n">
        <f aca="false">'Import-dataset'!AE12</f>
        <v>204</v>
      </c>
    </row>
    <row r="301" customFormat="false" ht="15" hidden="false" customHeight="false" outlineLevel="0" collapsed="false">
      <c r="A301" s="0" t="s">
        <v>231</v>
      </c>
      <c r="B301" s="0" t="n">
        <v>2025</v>
      </c>
      <c r="C301" s="0" t="s">
        <v>375</v>
      </c>
      <c r="D301" s="0" t="s">
        <v>319</v>
      </c>
      <c r="E301" s="0" t="s">
        <v>376</v>
      </c>
      <c r="F301" s="0" t="s">
        <v>141</v>
      </c>
      <c r="G301" s="0" t="s">
        <v>261</v>
      </c>
      <c r="H301" s="6" t="n">
        <f aca="false">'Import-dataset'!AE13</f>
        <v>135</v>
      </c>
    </row>
    <row r="302" customFormat="false" ht="15" hidden="false" customHeight="false" outlineLevel="0" collapsed="false">
      <c r="A302" s="0" t="s">
        <v>231</v>
      </c>
      <c r="B302" s="0" t="n">
        <v>2016</v>
      </c>
      <c r="C302" s="0" t="s">
        <v>377</v>
      </c>
      <c r="D302" s="0" t="s">
        <v>319</v>
      </c>
      <c r="E302" s="0" t="s">
        <v>378</v>
      </c>
      <c r="F302" s="0" t="s">
        <v>141</v>
      </c>
      <c r="G302" s="0" t="s">
        <v>262</v>
      </c>
      <c r="H302" s="6" t="n">
        <f aca="false">'Import-dataset'!AF4</f>
        <v>596</v>
      </c>
    </row>
    <row r="303" customFormat="false" ht="15" hidden="false" customHeight="false" outlineLevel="0" collapsed="false">
      <c r="A303" s="0" t="s">
        <v>231</v>
      </c>
      <c r="B303" s="0" t="n">
        <v>2017</v>
      </c>
      <c r="C303" s="0" t="s">
        <v>377</v>
      </c>
      <c r="D303" s="0" t="s">
        <v>319</v>
      </c>
      <c r="E303" s="0" t="s">
        <v>378</v>
      </c>
      <c r="F303" s="0" t="s">
        <v>141</v>
      </c>
      <c r="G303" s="0" t="s">
        <v>262</v>
      </c>
      <c r="H303" s="6" t="n">
        <f aca="false">'Import-dataset'!AF5</f>
        <v>591</v>
      </c>
    </row>
    <row r="304" customFormat="false" ht="15" hidden="false" customHeight="false" outlineLevel="0" collapsed="false">
      <c r="A304" s="0" t="s">
        <v>231</v>
      </c>
      <c r="B304" s="0" t="n">
        <v>2018</v>
      </c>
      <c r="C304" s="0" t="s">
        <v>377</v>
      </c>
      <c r="D304" s="0" t="s">
        <v>319</v>
      </c>
      <c r="E304" s="0" t="s">
        <v>378</v>
      </c>
      <c r="F304" s="0" t="s">
        <v>141</v>
      </c>
      <c r="G304" s="0" t="s">
        <v>262</v>
      </c>
      <c r="H304" s="6" t="n">
        <f aca="false">'Import-dataset'!AF6</f>
        <v>627</v>
      </c>
    </row>
    <row r="305" customFormat="false" ht="15" hidden="false" customHeight="false" outlineLevel="0" collapsed="false">
      <c r="A305" s="0" t="s">
        <v>231</v>
      </c>
      <c r="B305" s="0" t="n">
        <v>2019</v>
      </c>
      <c r="C305" s="0" t="s">
        <v>377</v>
      </c>
      <c r="D305" s="0" t="s">
        <v>319</v>
      </c>
      <c r="E305" s="0" t="s">
        <v>378</v>
      </c>
      <c r="F305" s="0" t="s">
        <v>141</v>
      </c>
      <c r="G305" s="0" t="s">
        <v>262</v>
      </c>
      <c r="H305" s="6" t="n">
        <f aca="false">'Import-dataset'!AF7</f>
        <v>579</v>
      </c>
    </row>
    <row r="306" customFormat="false" ht="15" hidden="false" customHeight="false" outlineLevel="0" collapsed="false">
      <c r="A306" s="0" t="s">
        <v>231</v>
      </c>
      <c r="B306" s="0" t="n">
        <v>2020</v>
      </c>
      <c r="C306" s="0" t="s">
        <v>377</v>
      </c>
      <c r="D306" s="0" t="s">
        <v>319</v>
      </c>
      <c r="E306" s="0" t="s">
        <v>378</v>
      </c>
      <c r="F306" s="0" t="s">
        <v>141</v>
      </c>
      <c r="G306" s="0" t="s">
        <v>262</v>
      </c>
      <c r="H306" s="6" t="n">
        <f aca="false">'Import-dataset'!AF8</f>
        <v>627</v>
      </c>
    </row>
    <row r="307" customFormat="false" ht="15" hidden="false" customHeight="false" outlineLevel="0" collapsed="false">
      <c r="A307" s="0" t="s">
        <v>231</v>
      </c>
      <c r="B307" s="0" t="n">
        <v>2021</v>
      </c>
      <c r="C307" s="0" t="s">
        <v>377</v>
      </c>
      <c r="D307" s="0" t="s">
        <v>319</v>
      </c>
      <c r="E307" s="0" t="s">
        <v>378</v>
      </c>
      <c r="F307" s="0" t="s">
        <v>141</v>
      </c>
      <c r="G307" s="0" t="s">
        <v>262</v>
      </c>
      <c r="H307" s="6" t="n">
        <f aca="false">'Import-dataset'!AF9</f>
        <v>680</v>
      </c>
    </row>
    <row r="308" customFormat="false" ht="15" hidden="false" customHeight="false" outlineLevel="0" collapsed="false">
      <c r="A308" s="0" t="s">
        <v>231</v>
      </c>
      <c r="B308" s="0" t="n">
        <v>2022</v>
      </c>
      <c r="C308" s="0" t="s">
        <v>377</v>
      </c>
      <c r="D308" s="0" t="s">
        <v>319</v>
      </c>
      <c r="E308" s="0" t="s">
        <v>378</v>
      </c>
      <c r="F308" s="0" t="s">
        <v>141</v>
      </c>
      <c r="G308" s="0" t="s">
        <v>262</v>
      </c>
      <c r="H308" s="6" t="n">
        <f aca="false">'Import-dataset'!AF10</f>
        <v>888</v>
      </c>
    </row>
    <row r="309" customFormat="false" ht="15" hidden="false" customHeight="false" outlineLevel="0" collapsed="false">
      <c r="A309" s="0" t="s">
        <v>231</v>
      </c>
      <c r="B309" s="0" t="n">
        <v>2023</v>
      </c>
      <c r="C309" s="0" t="s">
        <v>377</v>
      </c>
      <c r="D309" s="0" t="s">
        <v>319</v>
      </c>
      <c r="E309" s="0" t="s">
        <v>378</v>
      </c>
      <c r="F309" s="0" t="s">
        <v>141</v>
      </c>
      <c r="G309" s="0" t="s">
        <v>262</v>
      </c>
      <c r="H309" s="6" t="n">
        <f aca="false">'Import-dataset'!AF11</f>
        <v>750</v>
      </c>
    </row>
    <row r="310" customFormat="false" ht="15" hidden="false" customHeight="false" outlineLevel="0" collapsed="false">
      <c r="A310" s="0" t="s">
        <v>231</v>
      </c>
      <c r="B310" s="0" t="n">
        <v>2024</v>
      </c>
      <c r="C310" s="0" t="s">
        <v>377</v>
      </c>
      <c r="D310" s="0" t="s">
        <v>319</v>
      </c>
      <c r="E310" s="0" t="s">
        <v>378</v>
      </c>
      <c r="F310" s="0" t="s">
        <v>141</v>
      </c>
      <c r="G310" s="0" t="s">
        <v>262</v>
      </c>
      <c r="H310" s="6" t="n">
        <f aca="false">'Import-dataset'!AF12</f>
        <v>973</v>
      </c>
    </row>
    <row r="311" customFormat="false" ht="15" hidden="false" customHeight="false" outlineLevel="0" collapsed="false">
      <c r="A311" s="0" t="s">
        <v>231</v>
      </c>
      <c r="B311" s="0" t="n">
        <v>2025</v>
      </c>
      <c r="C311" s="0" t="s">
        <v>377</v>
      </c>
      <c r="D311" s="0" t="s">
        <v>319</v>
      </c>
      <c r="E311" s="0" t="s">
        <v>378</v>
      </c>
      <c r="F311" s="0" t="s">
        <v>141</v>
      </c>
      <c r="G311" s="0" t="s">
        <v>262</v>
      </c>
      <c r="H311" s="6" t="n">
        <f aca="false">'Import-dataset'!AF13</f>
        <v>1052</v>
      </c>
    </row>
    <row r="312" customFormat="false" ht="15" hidden="false" customHeight="false" outlineLevel="0" collapsed="false">
      <c r="A312" s="0" t="s">
        <v>231</v>
      </c>
      <c r="B312" s="0" t="n">
        <v>2016</v>
      </c>
      <c r="C312" s="0" t="s">
        <v>379</v>
      </c>
      <c r="D312" s="0" t="s">
        <v>319</v>
      </c>
      <c r="E312" s="0" t="s">
        <v>380</v>
      </c>
      <c r="F312" s="0" t="s">
        <v>141</v>
      </c>
      <c r="G312" s="0" t="s">
        <v>263</v>
      </c>
      <c r="H312" s="6" t="n">
        <f aca="false">'Import-dataset'!AG4</f>
        <v>44</v>
      </c>
    </row>
    <row r="313" customFormat="false" ht="15" hidden="false" customHeight="false" outlineLevel="0" collapsed="false">
      <c r="A313" s="0" t="s">
        <v>231</v>
      </c>
      <c r="B313" s="0" t="n">
        <v>2017</v>
      </c>
      <c r="C313" s="0" t="s">
        <v>379</v>
      </c>
      <c r="D313" s="0" t="s">
        <v>319</v>
      </c>
      <c r="E313" s="0" t="s">
        <v>380</v>
      </c>
      <c r="F313" s="0" t="s">
        <v>141</v>
      </c>
      <c r="G313" s="0" t="s">
        <v>263</v>
      </c>
      <c r="H313" s="6" t="n">
        <f aca="false">'Import-dataset'!AG5</f>
        <v>53</v>
      </c>
    </row>
    <row r="314" customFormat="false" ht="15" hidden="false" customHeight="false" outlineLevel="0" collapsed="false">
      <c r="A314" s="0" t="s">
        <v>231</v>
      </c>
      <c r="B314" s="0" t="n">
        <v>2018</v>
      </c>
      <c r="C314" s="0" t="s">
        <v>379</v>
      </c>
      <c r="D314" s="0" t="s">
        <v>319</v>
      </c>
      <c r="E314" s="0" t="s">
        <v>380</v>
      </c>
      <c r="F314" s="0" t="s">
        <v>141</v>
      </c>
      <c r="G314" s="0" t="s">
        <v>263</v>
      </c>
      <c r="H314" s="6" t="n">
        <f aca="false">'Import-dataset'!AG6</f>
        <v>54</v>
      </c>
    </row>
    <row r="315" customFormat="false" ht="15" hidden="false" customHeight="false" outlineLevel="0" collapsed="false">
      <c r="A315" s="0" t="s">
        <v>231</v>
      </c>
      <c r="B315" s="0" t="n">
        <v>2019</v>
      </c>
      <c r="C315" s="0" t="s">
        <v>379</v>
      </c>
      <c r="D315" s="0" t="s">
        <v>319</v>
      </c>
      <c r="E315" s="0" t="s">
        <v>380</v>
      </c>
      <c r="F315" s="0" t="s">
        <v>141</v>
      </c>
      <c r="G315" s="0" t="s">
        <v>263</v>
      </c>
      <c r="H315" s="6" t="n">
        <f aca="false">'Import-dataset'!AG7</f>
        <v>64</v>
      </c>
    </row>
    <row r="316" customFormat="false" ht="15" hidden="false" customHeight="false" outlineLevel="0" collapsed="false">
      <c r="A316" s="0" t="s">
        <v>231</v>
      </c>
      <c r="B316" s="0" t="n">
        <v>2020</v>
      </c>
      <c r="C316" s="0" t="s">
        <v>379</v>
      </c>
      <c r="D316" s="0" t="s">
        <v>319</v>
      </c>
      <c r="E316" s="0" t="s">
        <v>380</v>
      </c>
      <c r="F316" s="0" t="s">
        <v>141</v>
      </c>
      <c r="G316" s="0" t="s">
        <v>263</v>
      </c>
      <c r="H316" s="6" t="n">
        <f aca="false">'Import-dataset'!AG8</f>
        <v>55</v>
      </c>
    </row>
    <row r="317" customFormat="false" ht="15" hidden="false" customHeight="false" outlineLevel="0" collapsed="false">
      <c r="A317" s="0" t="s">
        <v>231</v>
      </c>
      <c r="B317" s="0" t="n">
        <v>2021</v>
      </c>
      <c r="C317" s="0" t="s">
        <v>379</v>
      </c>
      <c r="D317" s="0" t="s">
        <v>319</v>
      </c>
      <c r="E317" s="0" t="s">
        <v>380</v>
      </c>
      <c r="F317" s="0" t="s">
        <v>141</v>
      </c>
      <c r="G317" s="0" t="s">
        <v>263</v>
      </c>
      <c r="H317" s="6" t="n">
        <f aca="false">'Import-dataset'!AG9</f>
        <v>61</v>
      </c>
    </row>
    <row r="318" customFormat="false" ht="15" hidden="false" customHeight="false" outlineLevel="0" collapsed="false">
      <c r="A318" s="0" t="s">
        <v>231</v>
      </c>
      <c r="B318" s="0" t="n">
        <v>2022</v>
      </c>
      <c r="C318" s="0" t="s">
        <v>379</v>
      </c>
      <c r="D318" s="0" t="s">
        <v>319</v>
      </c>
      <c r="E318" s="0" t="s">
        <v>380</v>
      </c>
      <c r="F318" s="0" t="s">
        <v>141</v>
      </c>
      <c r="G318" s="0" t="s">
        <v>263</v>
      </c>
      <c r="H318" s="6" t="n">
        <f aca="false">'Import-dataset'!AG10</f>
        <v>76</v>
      </c>
    </row>
    <row r="319" customFormat="false" ht="15" hidden="false" customHeight="false" outlineLevel="0" collapsed="false">
      <c r="A319" s="0" t="s">
        <v>231</v>
      </c>
      <c r="B319" s="0" t="n">
        <v>2023</v>
      </c>
      <c r="C319" s="0" t="s">
        <v>379</v>
      </c>
      <c r="D319" s="0" t="s">
        <v>319</v>
      </c>
      <c r="E319" s="0" t="s">
        <v>380</v>
      </c>
      <c r="F319" s="0" t="s">
        <v>141</v>
      </c>
      <c r="G319" s="0" t="s">
        <v>263</v>
      </c>
      <c r="H319" s="6" t="n">
        <f aca="false">'Import-dataset'!AG11</f>
        <v>78</v>
      </c>
    </row>
    <row r="320" customFormat="false" ht="15" hidden="false" customHeight="false" outlineLevel="0" collapsed="false">
      <c r="A320" s="0" t="s">
        <v>231</v>
      </c>
      <c r="B320" s="0" t="n">
        <v>2024</v>
      </c>
      <c r="C320" s="0" t="s">
        <v>379</v>
      </c>
      <c r="D320" s="0" t="s">
        <v>319</v>
      </c>
      <c r="E320" s="0" t="s">
        <v>380</v>
      </c>
      <c r="F320" s="0" t="s">
        <v>141</v>
      </c>
      <c r="G320" s="0" t="s">
        <v>263</v>
      </c>
      <c r="H320" s="6" t="n">
        <f aca="false">'Import-dataset'!AG12</f>
        <v>78</v>
      </c>
    </row>
    <row r="321" customFormat="false" ht="15" hidden="false" customHeight="false" outlineLevel="0" collapsed="false">
      <c r="A321" s="0" t="s">
        <v>231</v>
      </c>
      <c r="B321" s="0" t="n">
        <v>2025</v>
      </c>
      <c r="C321" s="0" t="s">
        <v>379</v>
      </c>
      <c r="D321" s="0" t="s">
        <v>319</v>
      </c>
      <c r="E321" s="0" t="s">
        <v>380</v>
      </c>
      <c r="F321" s="0" t="s">
        <v>141</v>
      </c>
      <c r="G321" s="0" t="s">
        <v>263</v>
      </c>
      <c r="H321" s="6" t="n">
        <f aca="false">'Import-dataset'!AG13</f>
        <v>94</v>
      </c>
    </row>
    <row r="322" customFormat="false" ht="15" hidden="false" customHeight="false" outlineLevel="0" collapsed="false">
      <c r="A322" s="0" t="s">
        <v>231</v>
      </c>
      <c r="B322" s="0" t="n">
        <v>2016</v>
      </c>
      <c r="C322" s="0" t="s">
        <v>381</v>
      </c>
      <c r="D322" s="0" t="s">
        <v>316</v>
      </c>
      <c r="E322" s="0" t="s">
        <v>382</v>
      </c>
      <c r="F322" s="0" t="s">
        <v>141</v>
      </c>
      <c r="G322" s="0" t="s">
        <v>264</v>
      </c>
      <c r="H322" s="6" t="n">
        <f aca="false">'Import-dataset'!AH4</f>
        <v>27705</v>
      </c>
    </row>
    <row r="323" customFormat="false" ht="15" hidden="false" customHeight="false" outlineLevel="0" collapsed="false">
      <c r="A323" s="0" t="s">
        <v>231</v>
      </c>
      <c r="B323" s="0" t="n">
        <v>2017</v>
      </c>
      <c r="C323" s="0" t="s">
        <v>381</v>
      </c>
      <c r="D323" s="0" t="s">
        <v>316</v>
      </c>
      <c r="E323" s="0" t="s">
        <v>382</v>
      </c>
      <c r="F323" s="0" t="s">
        <v>141</v>
      </c>
      <c r="G323" s="0" t="s">
        <v>264</v>
      </c>
      <c r="H323" s="6" t="n">
        <f aca="false">'Import-dataset'!AH5</f>
        <v>28054</v>
      </c>
    </row>
    <row r="324" customFormat="false" ht="15" hidden="false" customHeight="false" outlineLevel="0" collapsed="false">
      <c r="A324" s="0" t="s">
        <v>231</v>
      </c>
      <c r="B324" s="0" t="n">
        <v>2018</v>
      </c>
      <c r="C324" s="0" t="s">
        <v>381</v>
      </c>
      <c r="D324" s="0" t="s">
        <v>316</v>
      </c>
      <c r="E324" s="0" t="s">
        <v>382</v>
      </c>
      <c r="F324" s="0" t="s">
        <v>141</v>
      </c>
      <c r="G324" s="0" t="s">
        <v>264</v>
      </c>
      <c r="H324" s="6" t="n">
        <f aca="false">'Import-dataset'!AH6</f>
        <v>29837</v>
      </c>
    </row>
    <row r="325" customFormat="false" ht="15" hidden="false" customHeight="false" outlineLevel="0" collapsed="false">
      <c r="A325" s="0" t="s">
        <v>231</v>
      </c>
      <c r="B325" s="0" t="n">
        <v>2019</v>
      </c>
      <c r="C325" s="0" t="s">
        <v>381</v>
      </c>
      <c r="D325" s="0" t="s">
        <v>316</v>
      </c>
      <c r="E325" s="0" t="s">
        <v>382</v>
      </c>
      <c r="F325" s="0" t="s">
        <v>141</v>
      </c>
      <c r="G325" s="0" t="s">
        <v>264</v>
      </c>
      <c r="H325" s="6" t="n">
        <f aca="false">'Import-dataset'!AH7</f>
        <v>31024</v>
      </c>
    </row>
    <row r="326" customFormat="false" ht="15" hidden="false" customHeight="false" outlineLevel="0" collapsed="false">
      <c r="A326" s="0" t="s">
        <v>231</v>
      </c>
      <c r="B326" s="0" t="n">
        <v>2020</v>
      </c>
      <c r="C326" s="0" t="s">
        <v>381</v>
      </c>
      <c r="D326" s="0" t="s">
        <v>316</v>
      </c>
      <c r="E326" s="0" t="s">
        <v>382</v>
      </c>
      <c r="F326" s="0" t="s">
        <v>141</v>
      </c>
      <c r="G326" s="0" t="s">
        <v>264</v>
      </c>
      <c r="H326" s="6" t="n">
        <f aca="false">'Import-dataset'!AH8</f>
        <v>33291</v>
      </c>
    </row>
    <row r="327" customFormat="false" ht="15" hidden="false" customHeight="false" outlineLevel="0" collapsed="false">
      <c r="A327" s="0" t="s">
        <v>231</v>
      </c>
      <c r="B327" s="0" t="n">
        <v>2021</v>
      </c>
      <c r="C327" s="0" t="s">
        <v>381</v>
      </c>
      <c r="D327" s="0" t="s">
        <v>316</v>
      </c>
      <c r="E327" s="0" t="s">
        <v>382</v>
      </c>
      <c r="F327" s="0" t="s">
        <v>141</v>
      </c>
      <c r="G327" s="0" t="s">
        <v>264</v>
      </c>
      <c r="H327" s="6" t="n">
        <f aca="false">'Import-dataset'!AH9</f>
        <v>37021</v>
      </c>
    </row>
    <row r="328" customFormat="false" ht="15" hidden="false" customHeight="false" outlineLevel="0" collapsed="false">
      <c r="A328" s="0" t="s">
        <v>231</v>
      </c>
      <c r="B328" s="0" t="n">
        <v>2022</v>
      </c>
      <c r="C328" s="0" t="s">
        <v>381</v>
      </c>
      <c r="D328" s="0" t="s">
        <v>316</v>
      </c>
      <c r="E328" s="0" t="s">
        <v>382</v>
      </c>
      <c r="F328" s="0" t="s">
        <v>141</v>
      </c>
      <c r="G328" s="0" t="s">
        <v>264</v>
      </c>
      <c r="H328" s="6" t="n">
        <f aca="false">'Import-dataset'!AH10</f>
        <v>51393</v>
      </c>
    </row>
    <row r="329" customFormat="false" ht="15" hidden="false" customHeight="false" outlineLevel="0" collapsed="false">
      <c r="A329" s="0" t="s">
        <v>231</v>
      </c>
      <c r="B329" s="0" t="n">
        <v>2023</v>
      </c>
      <c r="C329" s="0" t="s">
        <v>381</v>
      </c>
      <c r="D329" s="0" t="s">
        <v>316</v>
      </c>
      <c r="E329" s="0" t="s">
        <v>382</v>
      </c>
      <c r="F329" s="0" t="s">
        <v>141</v>
      </c>
      <c r="G329" s="0" t="s">
        <v>264</v>
      </c>
      <c r="H329" s="6" t="n">
        <f aca="false">'Import-dataset'!AH11</f>
        <v>42831</v>
      </c>
    </row>
    <row r="330" customFormat="false" ht="15" hidden="false" customHeight="false" outlineLevel="0" collapsed="false">
      <c r="A330" s="0" t="s">
        <v>231</v>
      </c>
      <c r="B330" s="0" t="n">
        <v>2024</v>
      </c>
      <c r="C330" s="0" t="s">
        <v>381</v>
      </c>
      <c r="D330" s="0" t="s">
        <v>316</v>
      </c>
      <c r="E330" s="0" t="s">
        <v>382</v>
      </c>
      <c r="F330" s="0" t="s">
        <v>141</v>
      </c>
      <c r="G330" s="0" t="s">
        <v>264</v>
      </c>
      <c r="H330" s="6" t="n">
        <f aca="false">'Import-dataset'!AH12</f>
        <v>45032</v>
      </c>
    </row>
    <row r="331" customFormat="false" ht="15" hidden="false" customHeight="false" outlineLevel="0" collapsed="false">
      <c r="A331" s="0" t="s">
        <v>231</v>
      </c>
      <c r="B331" s="0" t="n">
        <v>2025</v>
      </c>
      <c r="C331" s="0" t="s">
        <v>381</v>
      </c>
      <c r="D331" s="0" t="s">
        <v>316</v>
      </c>
      <c r="E331" s="0" t="s">
        <v>382</v>
      </c>
      <c r="F331" s="0" t="s">
        <v>141</v>
      </c>
      <c r="G331" s="0" t="s">
        <v>264</v>
      </c>
      <c r="H331" s="6" t="n">
        <f aca="false">'Import-dataset'!AH13</f>
        <v>47675</v>
      </c>
    </row>
    <row r="332" customFormat="false" ht="15" hidden="false" customHeight="false" outlineLevel="0" collapsed="false">
      <c r="A332" s="0" t="s">
        <v>231</v>
      </c>
      <c r="B332" s="0" t="n">
        <v>2016</v>
      </c>
      <c r="C332" s="0" t="s">
        <v>383</v>
      </c>
      <c r="D332" s="0" t="s">
        <v>319</v>
      </c>
      <c r="E332" s="0" t="s">
        <v>384</v>
      </c>
      <c r="F332" s="0" t="s">
        <v>141</v>
      </c>
      <c r="G332" s="0" t="s">
        <v>265</v>
      </c>
      <c r="H332" s="6" t="n">
        <f aca="false">'Import-dataset'!AI4</f>
        <v>2410</v>
      </c>
    </row>
    <row r="333" customFormat="false" ht="15" hidden="false" customHeight="false" outlineLevel="0" collapsed="false">
      <c r="A333" s="0" t="s">
        <v>231</v>
      </c>
      <c r="B333" s="0" t="n">
        <v>2017</v>
      </c>
      <c r="C333" s="0" t="s">
        <v>383</v>
      </c>
      <c r="D333" s="0" t="s">
        <v>319</v>
      </c>
      <c r="E333" s="0" t="s">
        <v>384</v>
      </c>
      <c r="F333" s="0" t="s">
        <v>141</v>
      </c>
      <c r="G333" s="0" t="s">
        <v>265</v>
      </c>
      <c r="H333" s="6" t="n">
        <f aca="false">'Import-dataset'!AI5</f>
        <v>2363</v>
      </c>
    </row>
    <row r="334" customFormat="false" ht="15" hidden="false" customHeight="false" outlineLevel="0" collapsed="false">
      <c r="A334" s="0" t="s">
        <v>231</v>
      </c>
      <c r="B334" s="0" t="n">
        <v>2018</v>
      </c>
      <c r="C334" s="0" t="s">
        <v>383</v>
      </c>
      <c r="D334" s="0" t="s">
        <v>319</v>
      </c>
      <c r="E334" s="0" t="s">
        <v>384</v>
      </c>
      <c r="F334" s="0" t="s">
        <v>141</v>
      </c>
      <c r="G334" s="0" t="s">
        <v>265</v>
      </c>
      <c r="H334" s="6" t="n">
        <f aca="false">'Import-dataset'!AI6</f>
        <v>2507</v>
      </c>
    </row>
    <row r="335" customFormat="false" ht="15" hidden="false" customHeight="false" outlineLevel="0" collapsed="false">
      <c r="A335" s="0" t="s">
        <v>231</v>
      </c>
      <c r="B335" s="0" t="n">
        <v>2019</v>
      </c>
      <c r="C335" s="0" t="s">
        <v>383</v>
      </c>
      <c r="D335" s="0" t="s">
        <v>319</v>
      </c>
      <c r="E335" s="0" t="s">
        <v>384</v>
      </c>
      <c r="F335" s="0" t="s">
        <v>141</v>
      </c>
      <c r="G335" s="0" t="s">
        <v>265</v>
      </c>
      <c r="H335" s="6" t="n">
        <f aca="false">'Import-dataset'!AI7</f>
        <v>2260</v>
      </c>
    </row>
    <row r="336" customFormat="false" ht="15" hidden="false" customHeight="false" outlineLevel="0" collapsed="false">
      <c r="A336" s="0" t="s">
        <v>231</v>
      </c>
      <c r="B336" s="0" t="n">
        <v>2020</v>
      </c>
      <c r="C336" s="0" t="s">
        <v>383</v>
      </c>
      <c r="D336" s="0" t="s">
        <v>319</v>
      </c>
      <c r="E336" s="0" t="s">
        <v>384</v>
      </c>
      <c r="F336" s="0" t="s">
        <v>141</v>
      </c>
      <c r="G336" s="0" t="s">
        <v>265</v>
      </c>
      <c r="H336" s="6" t="n">
        <f aca="false">'Import-dataset'!AI8</f>
        <v>2668</v>
      </c>
    </row>
    <row r="337" customFormat="false" ht="15" hidden="false" customHeight="false" outlineLevel="0" collapsed="false">
      <c r="A337" s="0" t="s">
        <v>231</v>
      </c>
      <c r="B337" s="0" t="n">
        <v>2021</v>
      </c>
      <c r="C337" s="0" t="s">
        <v>383</v>
      </c>
      <c r="D337" s="0" t="s">
        <v>319</v>
      </c>
      <c r="E337" s="0" t="s">
        <v>384</v>
      </c>
      <c r="F337" s="0" t="s">
        <v>141</v>
      </c>
      <c r="G337" s="0" t="s">
        <v>265</v>
      </c>
      <c r="H337" s="6" t="n">
        <f aca="false">'Import-dataset'!AI9</f>
        <v>3051</v>
      </c>
    </row>
    <row r="338" customFormat="false" ht="15" hidden="false" customHeight="false" outlineLevel="0" collapsed="false">
      <c r="A338" s="0" t="s">
        <v>231</v>
      </c>
      <c r="B338" s="0" t="n">
        <v>2022</v>
      </c>
      <c r="C338" s="0" t="s">
        <v>383</v>
      </c>
      <c r="D338" s="0" t="s">
        <v>319</v>
      </c>
      <c r="E338" s="0" t="s">
        <v>384</v>
      </c>
      <c r="F338" s="0" t="s">
        <v>141</v>
      </c>
      <c r="G338" s="0" t="s">
        <v>265</v>
      </c>
      <c r="H338" s="6" t="n">
        <f aca="false">'Import-dataset'!AI10</f>
        <v>3755</v>
      </c>
    </row>
    <row r="339" customFormat="false" ht="15" hidden="false" customHeight="false" outlineLevel="0" collapsed="false">
      <c r="A339" s="0" t="s">
        <v>231</v>
      </c>
      <c r="B339" s="0" t="n">
        <v>2023</v>
      </c>
      <c r="C339" s="0" t="s">
        <v>383</v>
      </c>
      <c r="D339" s="0" t="s">
        <v>319</v>
      </c>
      <c r="E339" s="0" t="s">
        <v>384</v>
      </c>
      <c r="F339" s="0" t="s">
        <v>141</v>
      </c>
      <c r="G339" s="0" t="s">
        <v>265</v>
      </c>
      <c r="H339" s="6" t="n">
        <f aca="false">'Import-dataset'!AI11</f>
        <v>2720</v>
      </c>
    </row>
    <row r="340" customFormat="false" ht="15" hidden="false" customHeight="false" outlineLevel="0" collapsed="false">
      <c r="A340" s="0" t="s">
        <v>231</v>
      </c>
      <c r="B340" s="0" t="n">
        <v>2024</v>
      </c>
      <c r="C340" s="0" t="s">
        <v>383</v>
      </c>
      <c r="D340" s="0" t="s">
        <v>319</v>
      </c>
      <c r="E340" s="0" t="s">
        <v>384</v>
      </c>
      <c r="F340" s="0" t="s">
        <v>141</v>
      </c>
      <c r="G340" s="0" t="s">
        <v>265</v>
      </c>
      <c r="H340" s="6" t="n">
        <f aca="false">'Import-dataset'!AI12</f>
        <v>2723</v>
      </c>
    </row>
    <row r="341" customFormat="false" ht="15" hidden="false" customHeight="false" outlineLevel="0" collapsed="false">
      <c r="A341" s="0" t="s">
        <v>231</v>
      </c>
      <c r="B341" s="0" t="n">
        <v>2025</v>
      </c>
      <c r="C341" s="0" t="s">
        <v>383</v>
      </c>
      <c r="D341" s="0" t="s">
        <v>319</v>
      </c>
      <c r="E341" s="0" t="s">
        <v>384</v>
      </c>
      <c r="F341" s="0" t="s">
        <v>141</v>
      </c>
      <c r="G341" s="0" t="s">
        <v>265</v>
      </c>
      <c r="H341" s="6" t="n">
        <f aca="false">'Import-dataset'!AI13</f>
        <v>2807</v>
      </c>
    </row>
    <row r="342" customFormat="false" ht="15" hidden="false" customHeight="false" outlineLevel="0" collapsed="false">
      <c r="A342" s="0" t="s">
        <v>231</v>
      </c>
      <c r="B342" s="0" t="n">
        <v>2016</v>
      </c>
      <c r="C342" s="0" t="s">
        <v>385</v>
      </c>
      <c r="D342" s="0" t="s">
        <v>319</v>
      </c>
      <c r="E342" s="0" t="s">
        <v>386</v>
      </c>
      <c r="F342" s="0" t="s">
        <v>141</v>
      </c>
      <c r="G342" s="0" t="s">
        <v>266</v>
      </c>
      <c r="H342" s="6" t="n">
        <f aca="false">'Import-dataset'!AJ4</f>
        <v>1567</v>
      </c>
    </row>
    <row r="343" customFormat="false" ht="15" hidden="false" customHeight="false" outlineLevel="0" collapsed="false">
      <c r="A343" s="0" t="s">
        <v>231</v>
      </c>
      <c r="B343" s="0" t="n">
        <v>2017</v>
      </c>
      <c r="C343" s="0" t="s">
        <v>385</v>
      </c>
      <c r="D343" s="0" t="s">
        <v>319</v>
      </c>
      <c r="E343" s="0" t="s">
        <v>386</v>
      </c>
      <c r="F343" s="0" t="s">
        <v>141</v>
      </c>
      <c r="G343" s="0" t="s">
        <v>266</v>
      </c>
      <c r="H343" s="6" t="n">
        <f aca="false">'Import-dataset'!AJ5</f>
        <v>1578</v>
      </c>
    </row>
    <row r="344" customFormat="false" ht="15" hidden="false" customHeight="false" outlineLevel="0" collapsed="false">
      <c r="A344" s="0" t="s">
        <v>231</v>
      </c>
      <c r="B344" s="0" t="n">
        <v>2018</v>
      </c>
      <c r="C344" s="0" t="s">
        <v>385</v>
      </c>
      <c r="D344" s="0" t="s">
        <v>319</v>
      </c>
      <c r="E344" s="0" t="s">
        <v>386</v>
      </c>
      <c r="F344" s="0" t="s">
        <v>141</v>
      </c>
      <c r="G344" s="0" t="s">
        <v>266</v>
      </c>
      <c r="H344" s="6" t="n">
        <f aca="false">'Import-dataset'!AJ6</f>
        <v>1107</v>
      </c>
    </row>
    <row r="345" customFormat="false" ht="15" hidden="false" customHeight="false" outlineLevel="0" collapsed="false">
      <c r="A345" s="0" t="s">
        <v>231</v>
      </c>
      <c r="B345" s="0" t="n">
        <v>2019</v>
      </c>
      <c r="C345" s="0" t="s">
        <v>385</v>
      </c>
      <c r="D345" s="0" t="s">
        <v>319</v>
      </c>
      <c r="E345" s="0" t="s">
        <v>386</v>
      </c>
      <c r="F345" s="0" t="s">
        <v>141</v>
      </c>
      <c r="G345" s="0" t="s">
        <v>266</v>
      </c>
      <c r="H345" s="6" t="n">
        <f aca="false">'Import-dataset'!AJ7</f>
        <v>1031</v>
      </c>
    </row>
    <row r="346" customFormat="false" ht="15" hidden="false" customHeight="false" outlineLevel="0" collapsed="false">
      <c r="A346" s="0" t="s">
        <v>231</v>
      </c>
      <c r="B346" s="0" t="n">
        <v>2020</v>
      </c>
      <c r="C346" s="0" t="s">
        <v>385</v>
      </c>
      <c r="D346" s="0" t="s">
        <v>319</v>
      </c>
      <c r="E346" s="0" t="s">
        <v>386</v>
      </c>
      <c r="F346" s="0" t="s">
        <v>141</v>
      </c>
      <c r="G346" s="0" t="s">
        <v>266</v>
      </c>
      <c r="H346" s="6" t="n">
        <f aca="false">'Import-dataset'!AJ8</f>
        <v>1043</v>
      </c>
    </row>
    <row r="347" customFormat="false" ht="15" hidden="false" customHeight="false" outlineLevel="0" collapsed="false">
      <c r="A347" s="0" t="s">
        <v>231</v>
      </c>
      <c r="B347" s="0" t="n">
        <v>2021</v>
      </c>
      <c r="C347" s="0" t="s">
        <v>385</v>
      </c>
      <c r="D347" s="0" t="s">
        <v>319</v>
      </c>
      <c r="E347" s="0" t="s">
        <v>386</v>
      </c>
      <c r="F347" s="0" t="s">
        <v>141</v>
      </c>
      <c r="G347" s="0" t="s">
        <v>266</v>
      </c>
      <c r="H347" s="6" t="n">
        <f aca="false">'Import-dataset'!AJ9</f>
        <v>1286</v>
      </c>
    </row>
    <row r="348" customFormat="false" ht="15" hidden="false" customHeight="false" outlineLevel="0" collapsed="false">
      <c r="A348" s="0" t="s">
        <v>231</v>
      </c>
      <c r="B348" s="0" t="n">
        <v>2022</v>
      </c>
      <c r="C348" s="0" t="s">
        <v>385</v>
      </c>
      <c r="D348" s="0" t="s">
        <v>319</v>
      </c>
      <c r="E348" s="0" t="s">
        <v>386</v>
      </c>
      <c r="F348" s="0" t="s">
        <v>141</v>
      </c>
      <c r="G348" s="0" t="s">
        <v>266</v>
      </c>
      <c r="H348" s="6" t="n">
        <f aca="false">'Import-dataset'!AJ10</f>
        <v>3401</v>
      </c>
    </row>
    <row r="349" customFormat="false" ht="15" hidden="false" customHeight="false" outlineLevel="0" collapsed="false">
      <c r="A349" s="0" t="s">
        <v>231</v>
      </c>
      <c r="B349" s="0" t="n">
        <v>2023</v>
      </c>
      <c r="C349" s="0" t="s">
        <v>385</v>
      </c>
      <c r="D349" s="0" t="s">
        <v>319</v>
      </c>
      <c r="E349" s="0" t="s">
        <v>386</v>
      </c>
      <c r="F349" s="0" t="s">
        <v>141</v>
      </c>
      <c r="G349" s="0" t="s">
        <v>266</v>
      </c>
      <c r="H349" s="6" t="n">
        <f aca="false">'Import-dataset'!AJ11</f>
        <v>2830</v>
      </c>
    </row>
    <row r="350" customFormat="false" ht="15" hidden="false" customHeight="false" outlineLevel="0" collapsed="false">
      <c r="A350" s="0" t="s">
        <v>231</v>
      </c>
      <c r="B350" s="0" t="n">
        <v>2024</v>
      </c>
      <c r="C350" s="0" t="s">
        <v>385</v>
      </c>
      <c r="D350" s="0" t="s">
        <v>319</v>
      </c>
      <c r="E350" s="0" t="s">
        <v>386</v>
      </c>
      <c r="F350" s="0" t="s">
        <v>141</v>
      </c>
      <c r="G350" s="0" t="s">
        <v>266</v>
      </c>
      <c r="H350" s="6" t="n">
        <f aca="false">'Import-dataset'!AJ12</f>
        <v>2683</v>
      </c>
    </row>
    <row r="351" customFormat="false" ht="15" hidden="false" customHeight="false" outlineLevel="0" collapsed="false">
      <c r="A351" s="0" t="s">
        <v>231</v>
      </c>
      <c r="B351" s="0" t="n">
        <v>2025</v>
      </c>
      <c r="C351" s="0" t="s">
        <v>385</v>
      </c>
      <c r="D351" s="0" t="s">
        <v>319</v>
      </c>
      <c r="E351" s="0" t="s">
        <v>386</v>
      </c>
      <c r="F351" s="0" t="s">
        <v>141</v>
      </c>
      <c r="G351" s="0" t="s">
        <v>266</v>
      </c>
      <c r="H351" s="6" t="n">
        <f aca="false">'Import-dataset'!AJ13</f>
        <v>2888</v>
      </c>
    </row>
    <row r="352" customFormat="false" ht="15" hidden="false" customHeight="false" outlineLevel="0" collapsed="false">
      <c r="A352" s="0" t="s">
        <v>231</v>
      </c>
      <c r="B352" s="0" t="n">
        <v>2016</v>
      </c>
      <c r="C352" s="0" t="s">
        <v>387</v>
      </c>
      <c r="D352" s="0" t="s">
        <v>319</v>
      </c>
      <c r="E352" s="0" t="s">
        <v>388</v>
      </c>
      <c r="F352" s="0" t="s">
        <v>141</v>
      </c>
      <c r="G352" s="0" t="s">
        <v>267</v>
      </c>
      <c r="H352" s="6" t="n">
        <f aca="false">'Import-dataset'!AK4</f>
        <v>997</v>
      </c>
    </row>
    <row r="353" customFormat="false" ht="15" hidden="false" customHeight="false" outlineLevel="0" collapsed="false">
      <c r="A353" s="0" t="s">
        <v>231</v>
      </c>
      <c r="B353" s="0" t="n">
        <v>2017</v>
      </c>
      <c r="C353" s="0" t="s">
        <v>387</v>
      </c>
      <c r="D353" s="0" t="s">
        <v>319</v>
      </c>
      <c r="E353" s="0" t="s">
        <v>388</v>
      </c>
      <c r="F353" s="0" t="s">
        <v>141</v>
      </c>
      <c r="G353" s="0" t="s">
        <v>267</v>
      </c>
      <c r="H353" s="6" t="n">
        <f aca="false">'Import-dataset'!AK5</f>
        <v>1019</v>
      </c>
    </row>
    <row r="354" customFormat="false" ht="15" hidden="false" customHeight="false" outlineLevel="0" collapsed="false">
      <c r="A354" s="0" t="s">
        <v>231</v>
      </c>
      <c r="B354" s="0" t="n">
        <v>2018</v>
      </c>
      <c r="C354" s="0" t="s">
        <v>387</v>
      </c>
      <c r="D354" s="0" t="s">
        <v>319</v>
      </c>
      <c r="E354" s="0" t="s">
        <v>388</v>
      </c>
      <c r="F354" s="0" t="s">
        <v>141</v>
      </c>
      <c r="G354" s="0" t="s">
        <v>267</v>
      </c>
      <c r="H354" s="6" t="n">
        <f aca="false">'Import-dataset'!AK6</f>
        <v>1111</v>
      </c>
    </row>
    <row r="355" customFormat="false" ht="15" hidden="false" customHeight="false" outlineLevel="0" collapsed="false">
      <c r="A355" s="0" t="s">
        <v>231</v>
      </c>
      <c r="B355" s="0" t="n">
        <v>2019</v>
      </c>
      <c r="C355" s="0" t="s">
        <v>387</v>
      </c>
      <c r="D355" s="0" t="s">
        <v>319</v>
      </c>
      <c r="E355" s="0" t="s">
        <v>388</v>
      </c>
      <c r="F355" s="0" t="s">
        <v>141</v>
      </c>
      <c r="G355" s="0" t="s">
        <v>267</v>
      </c>
      <c r="H355" s="6" t="n">
        <f aca="false">'Import-dataset'!AK7</f>
        <v>1084</v>
      </c>
    </row>
    <row r="356" customFormat="false" ht="15" hidden="false" customHeight="false" outlineLevel="0" collapsed="false">
      <c r="A356" s="0" t="s">
        <v>231</v>
      </c>
      <c r="B356" s="0" t="n">
        <v>2020</v>
      </c>
      <c r="C356" s="0" t="s">
        <v>387</v>
      </c>
      <c r="D356" s="0" t="s">
        <v>319</v>
      </c>
      <c r="E356" s="0" t="s">
        <v>388</v>
      </c>
      <c r="F356" s="0" t="s">
        <v>141</v>
      </c>
      <c r="G356" s="0" t="s">
        <v>267</v>
      </c>
      <c r="H356" s="6" t="n">
        <f aca="false">'Import-dataset'!AK8</f>
        <v>1084</v>
      </c>
    </row>
    <row r="357" customFormat="false" ht="15" hidden="false" customHeight="false" outlineLevel="0" collapsed="false">
      <c r="A357" s="0" t="s">
        <v>231</v>
      </c>
      <c r="B357" s="0" t="n">
        <v>2021</v>
      </c>
      <c r="C357" s="0" t="s">
        <v>387</v>
      </c>
      <c r="D357" s="0" t="s">
        <v>319</v>
      </c>
      <c r="E357" s="0" t="s">
        <v>388</v>
      </c>
      <c r="F357" s="0" t="s">
        <v>141</v>
      </c>
      <c r="G357" s="0" t="s">
        <v>267</v>
      </c>
      <c r="H357" s="6" t="n">
        <f aca="false">'Import-dataset'!AK9</f>
        <v>1152</v>
      </c>
    </row>
    <row r="358" customFormat="false" ht="15" hidden="false" customHeight="false" outlineLevel="0" collapsed="false">
      <c r="A358" s="0" t="s">
        <v>231</v>
      </c>
      <c r="B358" s="0" t="n">
        <v>2022</v>
      </c>
      <c r="C358" s="0" t="s">
        <v>387</v>
      </c>
      <c r="D358" s="0" t="s">
        <v>319</v>
      </c>
      <c r="E358" s="0" t="s">
        <v>388</v>
      </c>
      <c r="F358" s="0" t="s">
        <v>141</v>
      </c>
      <c r="G358" s="0" t="s">
        <v>267</v>
      </c>
      <c r="H358" s="6" t="n">
        <f aca="false">'Import-dataset'!AK10</f>
        <v>1267</v>
      </c>
    </row>
    <row r="359" customFormat="false" ht="15" hidden="false" customHeight="false" outlineLevel="0" collapsed="false">
      <c r="A359" s="0" t="s">
        <v>231</v>
      </c>
      <c r="B359" s="0" t="n">
        <v>2023</v>
      </c>
      <c r="C359" s="0" t="s">
        <v>387</v>
      </c>
      <c r="D359" s="0" t="s">
        <v>319</v>
      </c>
      <c r="E359" s="0" t="s">
        <v>388</v>
      </c>
      <c r="F359" s="0" t="s">
        <v>141</v>
      </c>
      <c r="G359" s="0" t="s">
        <v>267</v>
      </c>
      <c r="H359" s="6" t="n">
        <f aca="false">'Import-dataset'!AK11</f>
        <v>1148</v>
      </c>
    </row>
    <row r="360" customFormat="false" ht="15" hidden="false" customHeight="false" outlineLevel="0" collapsed="false">
      <c r="A360" s="0" t="s">
        <v>231</v>
      </c>
      <c r="B360" s="0" t="n">
        <v>2024</v>
      </c>
      <c r="C360" s="0" t="s">
        <v>387</v>
      </c>
      <c r="D360" s="0" t="s">
        <v>319</v>
      </c>
      <c r="E360" s="0" t="s">
        <v>388</v>
      </c>
      <c r="F360" s="0" t="s">
        <v>141</v>
      </c>
      <c r="G360" s="0" t="s">
        <v>267</v>
      </c>
      <c r="H360" s="6" t="n">
        <f aca="false">'Import-dataset'!AK12</f>
        <v>1265</v>
      </c>
    </row>
    <row r="361" customFormat="false" ht="15" hidden="false" customHeight="false" outlineLevel="0" collapsed="false">
      <c r="A361" s="0" t="s">
        <v>231</v>
      </c>
      <c r="B361" s="0" t="n">
        <v>2025</v>
      </c>
      <c r="C361" s="0" t="s">
        <v>387</v>
      </c>
      <c r="D361" s="0" t="s">
        <v>319</v>
      </c>
      <c r="E361" s="0" t="s">
        <v>388</v>
      </c>
      <c r="F361" s="0" t="s">
        <v>141</v>
      </c>
      <c r="G361" s="0" t="s">
        <v>267</v>
      </c>
      <c r="H361" s="6" t="n">
        <f aca="false">'Import-dataset'!AK13</f>
        <v>1234</v>
      </c>
    </row>
    <row r="362" customFormat="false" ht="15" hidden="false" customHeight="false" outlineLevel="0" collapsed="false">
      <c r="A362" s="0" t="s">
        <v>231</v>
      </c>
      <c r="B362" s="0" t="n">
        <v>2016</v>
      </c>
      <c r="C362" s="0" t="s">
        <v>389</v>
      </c>
      <c r="D362" s="0" t="s">
        <v>319</v>
      </c>
      <c r="E362" s="0" t="s">
        <v>390</v>
      </c>
      <c r="F362" s="0" t="s">
        <v>141</v>
      </c>
      <c r="G362" s="0" t="s">
        <v>268</v>
      </c>
      <c r="H362" s="6" t="n">
        <f aca="false">'Import-dataset'!AL4</f>
        <v>11226</v>
      </c>
    </row>
    <row r="363" customFormat="false" ht="15" hidden="false" customHeight="false" outlineLevel="0" collapsed="false">
      <c r="A363" s="0" t="s">
        <v>231</v>
      </c>
      <c r="B363" s="0" t="n">
        <v>2017</v>
      </c>
      <c r="C363" s="0" t="s">
        <v>389</v>
      </c>
      <c r="D363" s="0" t="s">
        <v>319</v>
      </c>
      <c r="E363" s="0" t="s">
        <v>390</v>
      </c>
      <c r="F363" s="0" t="s">
        <v>141</v>
      </c>
      <c r="G363" s="0" t="s">
        <v>268</v>
      </c>
      <c r="H363" s="6" t="n">
        <f aca="false">'Import-dataset'!AL5</f>
        <v>11138</v>
      </c>
    </row>
    <row r="364" customFormat="false" ht="15" hidden="false" customHeight="false" outlineLevel="0" collapsed="false">
      <c r="A364" s="0" t="s">
        <v>231</v>
      </c>
      <c r="B364" s="0" t="n">
        <v>2018</v>
      </c>
      <c r="C364" s="0" t="s">
        <v>389</v>
      </c>
      <c r="D364" s="0" t="s">
        <v>319</v>
      </c>
      <c r="E364" s="0" t="s">
        <v>390</v>
      </c>
      <c r="F364" s="0" t="s">
        <v>141</v>
      </c>
      <c r="G364" s="0" t="s">
        <v>268</v>
      </c>
      <c r="H364" s="6" t="n">
        <f aca="false">'Import-dataset'!AL6</f>
        <v>11782</v>
      </c>
    </row>
    <row r="365" customFormat="false" ht="15" hidden="false" customHeight="false" outlineLevel="0" collapsed="false">
      <c r="A365" s="0" t="s">
        <v>231</v>
      </c>
      <c r="B365" s="0" t="n">
        <v>2019</v>
      </c>
      <c r="C365" s="0" t="s">
        <v>389</v>
      </c>
      <c r="D365" s="0" t="s">
        <v>319</v>
      </c>
      <c r="E365" s="0" t="s">
        <v>390</v>
      </c>
      <c r="F365" s="0" t="s">
        <v>141</v>
      </c>
      <c r="G365" s="0" t="s">
        <v>268</v>
      </c>
      <c r="H365" s="6" t="n">
        <f aca="false">'Import-dataset'!AL7</f>
        <v>13112</v>
      </c>
    </row>
    <row r="366" customFormat="false" ht="15" hidden="false" customHeight="false" outlineLevel="0" collapsed="false">
      <c r="A366" s="0" t="s">
        <v>231</v>
      </c>
      <c r="B366" s="0" t="n">
        <v>2020</v>
      </c>
      <c r="C366" s="0" t="s">
        <v>389</v>
      </c>
      <c r="D366" s="0" t="s">
        <v>319</v>
      </c>
      <c r="E366" s="0" t="s">
        <v>390</v>
      </c>
      <c r="F366" s="0" t="s">
        <v>141</v>
      </c>
      <c r="G366" s="0" t="s">
        <v>268</v>
      </c>
      <c r="H366" s="6" t="n">
        <f aca="false">'Import-dataset'!AL8</f>
        <v>13802</v>
      </c>
    </row>
    <row r="367" customFormat="false" ht="15" hidden="false" customHeight="false" outlineLevel="0" collapsed="false">
      <c r="A367" s="0" t="s">
        <v>231</v>
      </c>
      <c r="B367" s="0" t="n">
        <v>2021</v>
      </c>
      <c r="C367" s="0" t="s">
        <v>389</v>
      </c>
      <c r="D367" s="0" t="s">
        <v>319</v>
      </c>
      <c r="E367" s="0" t="s">
        <v>390</v>
      </c>
      <c r="F367" s="0" t="s">
        <v>141</v>
      </c>
      <c r="G367" s="0" t="s">
        <v>268</v>
      </c>
      <c r="H367" s="6" t="n">
        <f aca="false">'Import-dataset'!AL9</f>
        <v>14770</v>
      </c>
    </row>
    <row r="368" customFormat="false" ht="15" hidden="false" customHeight="false" outlineLevel="0" collapsed="false">
      <c r="A368" s="0" t="s">
        <v>231</v>
      </c>
      <c r="B368" s="0" t="n">
        <v>2022</v>
      </c>
      <c r="C368" s="0" t="s">
        <v>389</v>
      </c>
      <c r="D368" s="0" t="s">
        <v>319</v>
      </c>
      <c r="E368" s="0" t="s">
        <v>390</v>
      </c>
      <c r="F368" s="0" t="s">
        <v>141</v>
      </c>
      <c r="G368" s="0" t="s">
        <v>268</v>
      </c>
      <c r="H368" s="6" t="n">
        <f aca="false">'Import-dataset'!AL10</f>
        <v>19106</v>
      </c>
    </row>
    <row r="369" customFormat="false" ht="15" hidden="false" customHeight="false" outlineLevel="0" collapsed="false">
      <c r="A369" s="0" t="s">
        <v>231</v>
      </c>
      <c r="B369" s="0" t="n">
        <v>2023</v>
      </c>
      <c r="C369" s="0" t="s">
        <v>389</v>
      </c>
      <c r="D369" s="0" t="s">
        <v>319</v>
      </c>
      <c r="E369" s="0" t="s">
        <v>390</v>
      </c>
      <c r="F369" s="0" t="s">
        <v>141</v>
      </c>
      <c r="G369" s="0" t="s">
        <v>268</v>
      </c>
      <c r="H369" s="6" t="n">
        <f aca="false">'Import-dataset'!AL11</f>
        <v>17000</v>
      </c>
    </row>
    <row r="370" customFormat="false" ht="15" hidden="false" customHeight="false" outlineLevel="0" collapsed="false">
      <c r="A370" s="0" t="s">
        <v>231</v>
      </c>
      <c r="B370" s="0" t="n">
        <v>2024</v>
      </c>
      <c r="C370" s="0" t="s">
        <v>389</v>
      </c>
      <c r="D370" s="0" t="s">
        <v>319</v>
      </c>
      <c r="E370" s="0" t="s">
        <v>390</v>
      </c>
      <c r="F370" s="0" t="s">
        <v>141</v>
      </c>
      <c r="G370" s="0" t="s">
        <v>268</v>
      </c>
      <c r="H370" s="6" t="n">
        <f aca="false">'Import-dataset'!AL12</f>
        <v>17012</v>
      </c>
    </row>
    <row r="371" customFormat="false" ht="15" hidden="false" customHeight="false" outlineLevel="0" collapsed="false">
      <c r="A371" s="0" t="s">
        <v>231</v>
      </c>
      <c r="B371" s="0" t="n">
        <v>2025</v>
      </c>
      <c r="C371" s="0" t="s">
        <v>389</v>
      </c>
      <c r="D371" s="0" t="s">
        <v>319</v>
      </c>
      <c r="E371" s="0" t="s">
        <v>390</v>
      </c>
      <c r="F371" s="0" t="s">
        <v>141</v>
      </c>
      <c r="G371" s="0" t="s">
        <v>268</v>
      </c>
      <c r="H371" s="6" t="n">
        <f aca="false">'Import-dataset'!AL13</f>
        <v>18490</v>
      </c>
    </row>
    <row r="372" customFormat="false" ht="15" hidden="false" customHeight="false" outlineLevel="0" collapsed="false">
      <c r="A372" s="0" t="s">
        <v>231</v>
      </c>
      <c r="B372" s="0" t="n">
        <v>2016</v>
      </c>
      <c r="C372" s="0" t="s">
        <v>391</v>
      </c>
      <c r="D372" s="0" t="s">
        <v>319</v>
      </c>
      <c r="E372" s="0" t="s">
        <v>392</v>
      </c>
      <c r="F372" s="0" t="s">
        <v>141</v>
      </c>
      <c r="G372" s="0" t="s">
        <v>269</v>
      </c>
      <c r="H372" s="6" t="n">
        <f aca="false">'Import-dataset'!AM4</f>
        <v>2938</v>
      </c>
    </row>
    <row r="373" customFormat="false" ht="15" hidden="false" customHeight="false" outlineLevel="0" collapsed="false">
      <c r="A373" s="0" t="s">
        <v>231</v>
      </c>
      <c r="B373" s="0" t="n">
        <v>2017</v>
      </c>
      <c r="C373" s="0" t="s">
        <v>391</v>
      </c>
      <c r="D373" s="0" t="s">
        <v>319</v>
      </c>
      <c r="E373" s="0" t="s">
        <v>392</v>
      </c>
      <c r="F373" s="0" t="s">
        <v>141</v>
      </c>
      <c r="G373" s="0" t="s">
        <v>269</v>
      </c>
      <c r="H373" s="6" t="n">
        <f aca="false">'Import-dataset'!AM5</f>
        <v>3084</v>
      </c>
    </row>
    <row r="374" customFormat="false" ht="15" hidden="false" customHeight="false" outlineLevel="0" collapsed="false">
      <c r="A374" s="0" t="s">
        <v>231</v>
      </c>
      <c r="B374" s="0" t="n">
        <v>2018</v>
      </c>
      <c r="C374" s="0" t="s">
        <v>391</v>
      </c>
      <c r="D374" s="0" t="s">
        <v>319</v>
      </c>
      <c r="E374" s="0" t="s">
        <v>392</v>
      </c>
      <c r="F374" s="0" t="s">
        <v>141</v>
      </c>
      <c r="G374" s="0" t="s">
        <v>269</v>
      </c>
      <c r="H374" s="6" t="n">
        <f aca="false">'Import-dataset'!AM6</f>
        <v>3595</v>
      </c>
    </row>
    <row r="375" customFormat="false" ht="15" hidden="false" customHeight="false" outlineLevel="0" collapsed="false">
      <c r="A375" s="0" t="s">
        <v>231</v>
      </c>
      <c r="B375" s="0" t="n">
        <v>2019</v>
      </c>
      <c r="C375" s="0" t="s">
        <v>391</v>
      </c>
      <c r="D375" s="0" t="s">
        <v>319</v>
      </c>
      <c r="E375" s="0" t="s">
        <v>392</v>
      </c>
      <c r="F375" s="0" t="s">
        <v>141</v>
      </c>
      <c r="G375" s="0" t="s">
        <v>269</v>
      </c>
      <c r="H375" s="6" t="n">
        <f aca="false">'Import-dataset'!AM7</f>
        <v>3865</v>
      </c>
    </row>
    <row r="376" customFormat="false" ht="15" hidden="false" customHeight="false" outlineLevel="0" collapsed="false">
      <c r="A376" s="0" t="s">
        <v>231</v>
      </c>
      <c r="B376" s="0" t="n">
        <v>2020</v>
      </c>
      <c r="C376" s="0" t="s">
        <v>391</v>
      </c>
      <c r="D376" s="0" t="s">
        <v>319</v>
      </c>
      <c r="E376" s="0" t="s">
        <v>392</v>
      </c>
      <c r="F376" s="0" t="s">
        <v>141</v>
      </c>
      <c r="G376" s="0" t="s">
        <v>269</v>
      </c>
      <c r="H376" s="6" t="n">
        <f aca="false">'Import-dataset'!AM8</f>
        <v>3970</v>
      </c>
    </row>
    <row r="377" customFormat="false" ht="15" hidden="false" customHeight="false" outlineLevel="0" collapsed="false">
      <c r="A377" s="0" t="s">
        <v>231</v>
      </c>
      <c r="B377" s="0" t="n">
        <v>2021</v>
      </c>
      <c r="C377" s="0" t="s">
        <v>391</v>
      </c>
      <c r="D377" s="0" t="s">
        <v>319</v>
      </c>
      <c r="E377" s="0" t="s">
        <v>392</v>
      </c>
      <c r="F377" s="0" t="s">
        <v>141</v>
      </c>
      <c r="G377" s="0" t="s">
        <v>269</v>
      </c>
      <c r="H377" s="6" t="n">
        <f aca="false">'Import-dataset'!AM9</f>
        <v>3861</v>
      </c>
    </row>
    <row r="378" customFormat="false" ht="15" hidden="false" customHeight="false" outlineLevel="0" collapsed="false">
      <c r="A378" s="0" t="s">
        <v>231</v>
      </c>
      <c r="B378" s="0" t="n">
        <v>2022</v>
      </c>
      <c r="C378" s="0" t="s">
        <v>391</v>
      </c>
      <c r="D378" s="0" t="s">
        <v>319</v>
      </c>
      <c r="E378" s="0" t="s">
        <v>392</v>
      </c>
      <c r="F378" s="0" t="s">
        <v>141</v>
      </c>
      <c r="G378" s="0" t="s">
        <v>269</v>
      </c>
      <c r="H378" s="6" t="n">
        <f aca="false">'Import-dataset'!AM10</f>
        <v>4657</v>
      </c>
    </row>
    <row r="379" customFormat="false" ht="15" hidden="false" customHeight="false" outlineLevel="0" collapsed="false">
      <c r="A379" s="0" t="s">
        <v>231</v>
      </c>
      <c r="B379" s="0" t="n">
        <v>2023</v>
      </c>
      <c r="C379" s="0" t="s">
        <v>391</v>
      </c>
      <c r="D379" s="0" t="s">
        <v>319</v>
      </c>
      <c r="E379" s="0" t="s">
        <v>392</v>
      </c>
      <c r="F379" s="0" t="s">
        <v>141</v>
      </c>
      <c r="G379" s="0" t="s">
        <v>269</v>
      </c>
      <c r="H379" s="6" t="n">
        <f aca="false">'Import-dataset'!AM11</f>
        <v>5168</v>
      </c>
    </row>
    <row r="380" customFormat="false" ht="15" hidden="false" customHeight="false" outlineLevel="0" collapsed="false">
      <c r="A380" s="0" t="s">
        <v>231</v>
      </c>
      <c r="B380" s="0" t="n">
        <v>2024</v>
      </c>
      <c r="C380" s="0" t="s">
        <v>391</v>
      </c>
      <c r="D380" s="0" t="s">
        <v>319</v>
      </c>
      <c r="E380" s="0" t="s">
        <v>392</v>
      </c>
      <c r="F380" s="0" t="s">
        <v>141</v>
      </c>
      <c r="G380" s="0" t="s">
        <v>269</v>
      </c>
      <c r="H380" s="6" t="n">
        <f aca="false">'Import-dataset'!AM12</f>
        <v>5568</v>
      </c>
    </row>
    <row r="381" customFormat="false" ht="15" hidden="false" customHeight="false" outlineLevel="0" collapsed="false">
      <c r="A381" s="0" t="s">
        <v>231</v>
      </c>
      <c r="B381" s="0" t="n">
        <v>2025</v>
      </c>
      <c r="C381" s="0" t="s">
        <v>391</v>
      </c>
      <c r="D381" s="0" t="s">
        <v>319</v>
      </c>
      <c r="E381" s="0" t="s">
        <v>392</v>
      </c>
      <c r="F381" s="0" t="s">
        <v>141</v>
      </c>
      <c r="G381" s="0" t="s">
        <v>269</v>
      </c>
      <c r="H381" s="6" t="n">
        <f aca="false">'Import-dataset'!AM13</f>
        <v>5842</v>
      </c>
    </row>
    <row r="382" customFormat="false" ht="15" hidden="false" customHeight="false" outlineLevel="0" collapsed="false">
      <c r="A382" s="0" t="s">
        <v>231</v>
      </c>
      <c r="B382" s="0" t="n">
        <v>2016</v>
      </c>
      <c r="C382" s="0" t="s">
        <v>393</v>
      </c>
      <c r="D382" s="0" t="s">
        <v>319</v>
      </c>
      <c r="E382" s="0" t="s">
        <v>394</v>
      </c>
      <c r="F382" s="0" t="s">
        <v>141</v>
      </c>
      <c r="G382" s="0" t="s">
        <v>270</v>
      </c>
      <c r="H382" s="6" t="n">
        <f aca="false">'Import-dataset'!AN4</f>
        <v>1682</v>
      </c>
    </row>
    <row r="383" customFormat="false" ht="15" hidden="false" customHeight="false" outlineLevel="0" collapsed="false">
      <c r="A383" s="0" t="s">
        <v>231</v>
      </c>
      <c r="B383" s="0" t="n">
        <v>2017</v>
      </c>
      <c r="C383" s="0" t="s">
        <v>393</v>
      </c>
      <c r="D383" s="0" t="s">
        <v>319</v>
      </c>
      <c r="E383" s="0" t="s">
        <v>394</v>
      </c>
      <c r="F383" s="0" t="s">
        <v>141</v>
      </c>
      <c r="G383" s="0" t="s">
        <v>270</v>
      </c>
      <c r="H383" s="6" t="n">
        <f aca="false">'Import-dataset'!AN5</f>
        <v>1640</v>
      </c>
    </row>
    <row r="384" customFormat="false" ht="15" hidden="false" customHeight="false" outlineLevel="0" collapsed="false">
      <c r="A384" s="0" t="s">
        <v>231</v>
      </c>
      <c r="B384" s="0" t="n">
        <v>2018</v>
      </c>
      <c r="C384" s="0" t="s">
        <v>393</v>
      </c>
      <c r="D384" s="0" t="s">
        <v>319</v>
      </c>
      <c r="E384" s="0" t="s">
        <v>394</v>
      </c>
      <c r="F384" s="0" t="s">
        <v>141</v>
      </c>
      <c r="G384" s="0" t="s">
        <v>270</v>
      </c>
      <c r="H384" s="6" t="n">
        <f aca="false">'Import-dataset'!AN6</f>
        <v>1915</v>
      </c>
    </row>
    <row r="385" customFormat="false" ht="15" hidden="false" customHeight="false" outlineLevel="0" collapsed="false">
      <c r="A385" s="0" t="s">
        <v>231</v>
      </c>
      <c r="B385" s="0" t="n">
        <v>2019</v>
      </c>
      <c r="C385" s="0" t="s">
        <v>393</v>
      </c>
      <c r="D385" s="0" t="s">
        <v>319</v>
      </c>
      <c r="E385" s="0" t="s">
        <v>394</v>
      </c>
      <c r="F385" s="0" t="s">
        <v>141</v>
      </c>
      <c r="G385" s="0" t="s">
        <v>270</v>
      </c>
      <c r="H385" s="6" t="n">
        <f aca="false">'Import-dataset'!AN7</f>
        <v>2150</v>
      </c>
    </row>
    <row r="386" customFormat="false" ht="15" hidden="false" customHeight="false" outlineLevel="0" collapsed="false">
      <c r="A386" s="0" t="s">
        <v>231</v>
      </c>
      <c r="B386" s="0" t="n">
        <v>2020</v>
      </c>
      <c r="C386" s="0" t="s">
        <v>393</v>
      </c>
      <c r="D386" s="0" t="s">
        <v>319</v>
      </c>
      <c r="E386" s="0" t="s">
        <v>394</v>
      </c>
      <c r="F386" s="0" t="s">
        <v>141</v>
      </c>
      <c r="G386" s="0" t="s">
        <v>270</v>
      </c>
      <c r="H386" s="6" t="n">
        <f aca="false">'Import-dataset'!AN8</f>
        <v>2122</v>
      </c>
    </row>
    <row r="387" customFormat="false" ht="15" hidden="false" customHeight="false" outlineLevel="0" collapsed="false">
      <c r="A387" s="0" t="s">
        <v>231</v>
      </c>
      <c r="B387" s="0" t="n">
        <v>2021</v>
      </c>
      <c r="C387" s="0" t="s">
        <v>393</v>
      </c>
      <c r="D387" s="0" t="s">
        <v>319</v>
      </c>
      <c r="E387" s="0" t="s">
        <v>394</v>
      </c>
      <c r="F387" s="0" t="s">
        <v>141</v>
      </c>
      <c r="G387" s="0" t="s">
        <v>270</v>
      </c>
      <c r="H387" s="6" t="n">
        <f aca="false">'Import-dataset'!AN9</f>
        <v>3289</v>
      </c>
    </row>
    <row r="388" customFormat="false" ht="15" hidden="false" customHeight="false" outlineLevel="0" collapsed="false">
      <c r="A388" s="0" t="s">
        <v>231</v>
      </c>
      <c r="B388" s="0" t="n">
        <v>2022</v>
      </c>
      <c r="C388" s="0" t="s">
        <v>393</v>
      </c>
      <c r="D388" s="0" t="s">
        <v>319</v>
      </c>
      <c r="E388" s="0" t="s">
        <v>394</v>
      </c>
      <c r="F388" s="0" t="s">
        <v>141</v>
      </c>
      <c r="G388" s="0" t="s">
        <v>270</v>
      </c>
      <c r="H388" s="6" t="n">
        <f aca="false">'Import-dataset'!AN10</f>
        <v>5706</v>
      </c>
    </row>
    <row r="389" customFormat="false" ht="15" hidden="false" customHeight="false" outlineLevel="0" collapsed="false">
      <c r="A389" s="0" t="s">
        <v>231</v>
      </c>
      <c r="B389" s="0" t="n">
        <v>2023</v>
      </c>
      <c r="C389" s="0" t="s">
        <v>393</v>
      </c>
      <c r="D389" s="0" t="s">
        <v>319</v>
      </c>
      <c r="E389" s="0" t="s">
        <v>394</v>
      </c>
      <c r="F389" s="0" t="s">
        <v>141</v>
      </c>
      <c r="G389" s="0" t="s">
        <v>270</v>
      </c>
      <c r="H389" s="6" t="n">
        <f aca="false">'Import-dataset'!AN11</f>
        <v>3561</v>
      </c>
    </row>
    <row r="390" customFormat="false" ht="15" hidden="false" customHeight="false" outlineLevel="0" collapsed="false">
      <c r="A390" s="0" t="s">
        <v>231</v>
      </c>
      <c r="B390" s="0" t="n">
        <v>2024</v>
      </c>
      <c r="C390" s="0" t="s">
        <v>393</v>
      </c>
      <c r="D390" s="0" t="s">
        <v>319</v>
      </c>
      <c r="E390" s="0" t="s">
        <v>394</v>
      </c>
      <c r="F390" s="0" t="s">
        <v>141</v>
      </c>
      <c r="G390" s="0" t="s">
        <v>270</v>
      </c>
      <c r="H390" s="6" t="n">
        <f aca="false">'Import-dataset'!AN12</f>
        <v>4652</v>
      </c>
    </row>
    <row r="391" customFormat="false" ht="15" hidden="false" customHeight="false" outlineLevel="0" collapsed="false">
      <c r="A391" s="0" t="s">
        <v>231</v>
      </c>
      <c r="B391" s="0" t="n">
        <v>2025</v>
      </c>
      <c r="C391" s="0" t="s">
        <v>393</v>
      </c>
      <c r="D391" s="0" t="s">
        <v>319</v>
      </c>
      <c r="E391" s="0" t="s">
        <v>394</v>
      </c>
      <c r="F391" s="0" t="s">
        <v>141</v>
      </c>
      <c r="G391" s="0" t="s">
        <v>270</v>
      </c>
      <c r="H391" s="6" t="n">
        <f aca="false">'Import-dataset'!AN13</f>
        <v>5109</v>
      </c>
    </row>
    <row r="392" customFormat="false" ht="15" hidden="false" customHeight="false" outlineLevel="0" collapsed="false">
      <c r="A392" s="0" t="s">
        <v>231</v>
      </c>
      <c r="B392" s="0" t="n">
        <v>2016</v>
      </c>
      <c r="C392" s="0" t="s">
        <v>395</v>
      </c>
      <c r="D392" s="0" t="s">
        <v>319</v>
      </c>
      <c r="E392" s="0" t="s">
        <v>396</v>
      </c>
      <c r="F392" s="0" t="s">
        <v>141</v>
      </c>
      <c r="G392" s="0" t="s">
        <v>271</v>
      </c>
      <c r="H392" s="6" t="n">
        <f aca="false">'Import-dataset'!AO4</f>
        <v>1958</v>
      </c>
    </row>
    <row r="393" customFormat="false" ht="15" hidden="false" customHeight="false" outlineLevel="0" collapsed="false">
      <c r="A393" s="0" t="s">
        <v>231</v>
      </c>
      <c r="B393" s="0" t="n">
        <v>2017</v>
      </c>
      <c r="C393" s="0" t="s">
        <v>395</v>
      </c>
      <c r="D393" s="0" t="s">
        <v>319</v>
      </c>
      <c r="E393" s="0" t="s">
        <v>396</v>
      </c>
      <c r="F393" s="0" t="s">
        <v>141</v>
      </c>
      <c r="G393" s="0" t="s">
        <v>271</v>
      </c>
      <c r="H393" s="6" t="n">
        <f aca="false">'Import-dataset'!AO5</f>
        <v>2109</v>
      </c>
    </row>
    <row r="394" customFormat="false" ht="15" hidden="false" customHeight="false" outlineLevel="0" collapsed="false">
      <c r="A394" s="0" t="s">
        <v>231</v>
      </c>
      <c r="B394" s="0" t="n">
        <v>2018</v>
      </c>
      <c r="C394" s="0" t="s">
        <v>395</v>
      </c>
      <c r="D394" s="0" t="s">
        <v>319</v>
      </c>
      <c r="E394" s="0" t="s">
        <v>396</v>
      </c>
      <c r="F394" s="0" t="s">
        <v>141</v>
      </c>
      <c r="G394" s="0" t="s">
        <v>271</v>
      </c>
      <c r="H394" s="6" t="n">
        <f aca="false">'Import-dataset'!AO6</f>
        <v>2460</v>
      </c>
    </row>
    <row r="395" customFormat="false" ht="15" hidden="false" customHeight="false" outlineLevel="0" collapsed="false">
      <c r="A395" s="0" t="s">
        <v>231</v>
      </c>
      <c r="B395" s="0" t="n">
        <v>2019</v>
      </c>
      <c r="C395" s="0" t="s">
        <v>395</v>
      </c>
      <c r="D395" s="0" t="s">
        <v>319</v>
      </c>
      <c r="E395" s="0" t="s">
        <v>396</v>
      </c>
      <c r="F395" s="0" t="s">
        <v>141</v>
      </c>
      <c r="G395" s="0" t="s">
        <v>271</v>
      </c>
      <c r="H395" s="6" t="n">
        <f aca="false">'Import-dataset'!AO7</f>
        <v>2211</v>
      </c>
    </row>
    <row r="396" customFormat="false" ht="15" hidden="false" customHeight="false" outlineLevel="0" collapsed="false">
      <c r="A396" s="0" t="s">
        <v>231</v>
      </c>
      <c r="B396" s="0" t="n">
        <v>2020</v>
      </c>
      <c r="C396" s="0" t="s">
        <v>395</v>
      </c>
      <c r="D396" s="0" t="s">
        <v>319</v>
      </c>
      <c r="E396" s="0" t="s">
        <v>396</v>
      </c>
      <c r="F396" s="0" t="s">
        <v>141</v>
      </c>
      <c r="G396" s="0" t="s">
        <v>271</v>
      </c>
      <c r="H396" s="6" t="n">
        <f aca="false">'Import-dataset'!AO8</f>
        <v>2138</v>
      </c>
    </row>
    <row r="397" customFormat="false" ht="15" hidden="false" customHeight="false" outlineLevel="0" collapsed="false">
      <c r="A397" s="0" t="s">
        <v>231</v>
      </c>
      <c r="B397" s="0" t="n">
        <v>2021</v>
      </c>
      <c r="C397" s="0" t="s">
        <v>395</v>
      </c>
      <c r="D397" s="0" t="s">
        <v>319</v>
      </c>
      <c r="E397" s="0" t="s">
        <v>396</v>
      </c>
      <c r="F397" s="0" t="s">
        <v>141</v>
      </c>
      <c r="G397" s="0" t="s">
        <v>271</v>
      </c>
      <c r="H397" s="6" t="n">
        <f aca="false">'Import-dataset'!AO9</f>
        <v>2677</v>
      </c>
    </row>
    <row r="398" customFormat="false" ht="15" hidden="false" customHeight="false" outlineLevel="0" collapsed="false">
      <c r="A398" s="0" t="s">
        <v>231</v>
      </c>
      <c r="B398" s="0" t="n">
        <v>2022</v>
      </c>
      <c r="C398" s="0" t="s">
        <v>395</v>
      </c>
      <c r="D398" s="0" t="s">
        <v>319</v>
      </c>
      <c r="E398" s="0" t="s">
        <v>396</v>
      </c>
      <c r="F398" s="0" t="s">
        <v>141</v>
      </c>
      <c r="G398" s="0" t="s">
        <v>271</v>
      </c>
      <c r="H398" s="6" t="n">
        <f aca="false">'Import-dataset'!AO10</f>
        <v>3148</v>
      </c>
    </row>
    <row r="399" customFormat="false" ht="15" hidden="false" customHeight="false" outlineLevel="0" collapsed="false">
      <c r="A399" s="0" t="s">
        <v>231</v>
      </c>
      <c r="B399" s="0" t="n">
        <v>2023</v>
      </c>
      <c r="C399" s="0" t="s">
        <v>395</v>
      </c>
      <c r="D399" s="0" t="s">
        <v>319</v>
      </c>
      <c r="E399" s="0" t="s">
        <v>396</v>
      </c>
      <c r="F399" s="0" t="s">
        <v>141</v>
      </c>
      <c r="G399" s="0" t="s">
        <v>271</v>
      </c>
      <c r="H399" s="6" t="n">
        <f aca="false">'Import-dataset'!AO11</f>
        <v>2728</v>
      </c>
    </row>
    <row r="400" customFormat="false" ht="15" hidden="false" customHeight="false" outlineLevel="0" collapsed="false">
      <c r="A400" s="0" t="s">
        <v>231</v>
      </c>
      <c r="B400" s="0" t="n">
        <v>2024</v>
      </c>
      <c r="C400" s="0" t="s">
        <v>395</v>
      </c>
      <c r="D400" s="0" t="s">
        <v>319</v>
      </c>
      <c r="E400" s="0" t="s">
        <v>396</v>
      </c>
      <c r="F400" s="0" t="s">
        <v>141</v>
      </c>
      <c r="G400" s="0" t="s">
        <v>271</v>
      </c>
      <c r="H400" s="6" t="n">
        <f aca="false">'Import-dataset'!AO12</f>
        <v>2957</v>
      </c>
    </row>
    <row r="401" customFormat="false" ht="15" hidden="false" customHeight="false" outlineLevel="0" collapsed="false">
      <c r="A401" s="0" t="s">
        <v>231</v>
      </c>
      <c r="B401" s="0" t="n">
        <v>2025</v>
      </c>
      <c r="C401" s="0" t="s">
        <v>395</v>
      </c>
      <c r="D401" s="0" t="s">
        <v>319</v>
      </c>
      <c r="E401" s="0" t="s">
        <v>396</v>
      </c>
      <c r="F401" s="0" t="s">
        <v>141</v>
      </c>
      <c r="G401" s="0" t="s">
        <v>271</v>
      </c>
      <c r="H401" s="6" t="n">
        <f aca="false">'Import-dataset'!AO13</f>
        <v>2795</v>
      </c>
    </row>
    <row r="402" customFormat="false" ht="15" hidden="false" customHeight="false" outlineLevel="0" collapsed="false">
      <c r="A402" s="0" t="s">
        <v>231</v>
      </c>
      <c r="B402" s="0" t="n">
        <v>2016</v>
      </c>
      <c r="C402" s="0" t="s">
        <v>397</v>
      </c>
      <c r="D402" s="0" t="s">
        <v>319</v>
      </c>
      <c r="E402" s="0" t="s">
        <v>398</v>
      </c>
      <c r="F402" s="0" t="s">
        <v>141</v>
      </c>
      <c r="G402" s="0" t="s">
        <v>272</v>
      </c>
      <c r="H402" s="6" t="n">
        <f aca="false">'Import-dataset'!AP4</f>
        <v>1947</v>
      </c>
    </row>
    <row r="403" customFormat="false" ht="15" hidden="false" customHeight="false" outlineLevel="0" collapsed="false">
      <c r="A403" s="0" t="s">
        <v>231</v>
      </c>
      <c r="B403" s="0" t="n">
        <v>2017</v>
      </c>
      <c r="C403" s="0" t="s">
        <v>397</v>
      </c>
      <c r="D403" s="0" t="s">
        <v>319</v>
      </c>
      <c r="E403" s="0" t="s">
        <v>398</v>
      </c>
      <c r="F403" s="0" t="s">
        <v>141</v>
      </c>
      <c r="G403" s="0" t="s">
        <v>272</v>
      </c>
      <c r="H403" s="6" t="n">
        <f aca="false">'Import-dataset'!AP5</f>
        <v>1994</v>
      </c>
    </row>
    <row r="404" customFormat="false" ht="15" hidden="false" customHeight="false" outlineLevel="0" collapsed="false">
      <c r="A404" s="0" t="s">
        <v>231</v>
      </c>
      <c r="B404" s="0" t="n">
        <v>2018</v>
      </c>
      <c r="C404" s="0" t="s">
        <v>397</v>
      </c>
      <c r="D404" s="0" t="s">
        <v>319</v>
      </c>
      <c r="E404" s="0" t="s">
        <v>398</v>
      </c>
      <c r="F404" s="0" t="s">
        <v>141</v>
      </c>
      <c r="G404" s="0" t="s">
        <v>272</v>
      </c>
      <c r="H404" s="6" t="n">
        <f aca="false">'Import-dataset'!AP6</f>
        <v>2196</v>
      </c>
    </row>
    <row r="405" customFormat="false" ht="15" hidden="false" customHeight="false" outlineLevel="0" collapsed="false">
      <c r="A405" s="0" t="s">
        <v>231</v>
      </c>
      <c r="B405" s="0" t="n">
        <v>2019</v>
      </c>
      <c r="C405" s="0" t="s">
        <v>397</v>
      </c>
      <c r="D405" s="0" t="s">
        <v>319</v>
      </c>
      <c r="E405" s="0" t="s">
        <v>398</v>
      </c>
      <c r="F405" s="0" t="s">
        <v>141</v>
      </c>
      <c r="G405" s="0" t="s">
        <v>272</v>
      </c>
      <c r="H405" s="6" t="n">
        <f aca="false">'Import-dataset'!AP7</f>
        <v>2226</v>
      </c>
    </row>
    <row r="406" customFormat="false" ht="15" hidden="false" customHeight="false" outlineLevel="0" collapsed="false">
      <c r="A406" s="0" t="s">
        <v>231</v>
      </c>
      <c r="B406" s="0" t="n">
        <v>2020</v>
      </c>
      <c r="C406" s="0" t="s">
        <v>397</v>
      </c>
      <c r="D406" s="0" t="s">
        <v>319</v>
      </c>
      <c r="E406" s="0" t="s">
        <v>398</v>
      </c>
      <c r="F406" s="0" t="s">
        <v>141</v>
      </c>
      <c r="G406" s="0" t="s">
        <v>272</v>
      </c>
      <c r="H406" s="6" t="n">
        <f aca="false">'Import-dataset'!AP8</f>
        <v>2294</v>
      </c>
    </row>
    <row r="407" customFormat="false" ht="15" hidden="false" customHeight="false" outlineLevel="0" collapsed="false">
      <c r="A407" s="0" t="s">
        <v>231</v>
      </c>
      <c r="B407" s="0" t="n">
        <v>2021</v>
      </c>
      <c r="C407" s="0" t="s">
        <v>397</v>
      </c>
      <c r="D407" s="0" t="s">
        <v>319</v>
      </c>
      <c r="E407" s="0" t="s">
        <v>398</v>
      </c>
      <c r="F407" s="0" t="s">
        <v>141</v>
      </c>
      <c r="G407" s="0" t="s">
        <v>272</v>
      </c>
      <c r="H407" s="6" t="n">
        <f aca="false">'Import-dataset'!AP9</f>
        <v>2448</v>
      </c>
    </row>
    <row r="408" customFormat="false" ht="15" hidden="false" customHeight="false" outlineLevel="0" collapsed="false">
      <c r="A408" s="0" t="s">
        <v>231</v>
      </c>
      <c r="B408" s="0" t="n">
        <v>2022</v>
      </c>
      <c r="C408" s="0" t="s">
        <v>397</v>
      </c>
      <c r="D408" s="0" t="s">
        <v>319</v>
      </c>
      <c r="E408" s="0" t="s">
        <v>398</v>
      </c>
      <c r="F408" s="0" t="s">
        <v>141</v>
      </c>
      <c r="G408" s="0" t="s">
        <v>272</v>
      </c>
      <c r="H408" s="6" t="n">
        <f aca="false">'Import-dataset'!AP10</f>
        <v>2866</v>
      </c>
    </row>
    <row r="409" customFormat="false" ht="15" hidden="false" customHeight="false" outlineLevel="0" collapsed="false">
      <c r="A409" s="0" t="s">
        <v>231</v>
      </c>
      <c r="B409" s="0" t="n">
        <v>2023</v>
      </c>
      <c r="C409" s="0" t="s">
        <v>397</v>
      </c>
      <c r="D409" s="0" t="s">
        <v>319</v>
      </c>
      <c r="E409" s="0" t="s">
        <v>398</v>
      </c>
      <c r="F409" s="0" t="s">
        <v>141</v>
      </c>
      <c r="G409" s="0" t="s">
        <v>272</v>
      </c>
      <c r="H409" s="6" t="n">
        <f aca="false">'Import-dataset'!AP11</f>
        <v>2703</v>
      </c>
    </row>
    <row r="410" customFormat="false" ht="15" hidden="false" customHeight="false" outlineLevel="0" collapsed="false">
      <c r="A410" s="0" t="s">
        <v>231</v>
      </c>
      <c r="B410" s="0" t="n">
        <v>2024</v>
      </c>
      <c r="C410" s="0" t="s">
        <v>397</v>
      </c>
      <c r="D410" s="0" t="s">
        <v>319</v>
      </c>
      <c r="E410" s="0" t="s">
        <v>398</v>
      </c>
      <c r="F410" s="0" t="s">
        <v>141</v>
      </c>
      <c r="G410" s="0" t="s">
        <v>272</v>
      </c>
      <c r="H410" s="6" t="n">
        <f aca="false">'Import-dataset'!AP12</f>
        <v>2840</v>
      </c>
    </row>
    <row r="411" customFormat="false" ht="15" hidden="false" customHeight="false" outlineLevel="0" collapsed="false">
      <c r="A411" s="0" t="s">
        <v>231</v>
      </c>
      <c r="B411" s="0" t="n">
        <v>2025</v>
      </c>
      <c r="C411" s="0" t="s">
        <v>397</v>
      </c>
      <c r="D411" s="0" t="s">
        <v>319</v>
      </c>
      <c r="E411" s="0" t="s">
        <v>398</v>
      </c>
      <c r="F411" s="0" t="s">
        <v>141</v>
      </c>
      <c r="G411" s="0" t="s">
        <v>272</v>
      </c>
      <c r="H411" s="6" t="n">
        <f aca="false">'Import-dataset'!AP13</f>
        <v>3004</v>
      </c>
    </row>
    <row r="412" customFormat="false" ht="15" hidden="false" customHeight="false" outlineLevel="0" collapsed="false">
      <c r="A412" s="0" t="s">
        <v>231</v>
      </c>
      <c r="B412" s="0" t="n">
        <v>2016</v>
      </c>
      <c r="C412" s="0" t="s">
        <v>399</v>
      </c>
      <c r="D412" s="0" t="s">
        <v>319</v>
      </c>
      <c r="E412" s="0" t="s">
        <v>400</v>
      </c>
      <c r="F412" s="0" t="s">
        <v>141</v>
      </c>
      <c r="G412" s="0" t="s">
        <v>273</v>
      </c>
      <c r="H412" s="6" t="n">
        <f aca="false">'Import-dataset'!AQ4</f>
        <v>2978</v>
      </c>
    </row>
    <row r="413" customFormat="false" ht="15" hidden="false" customHeight="false" outlineLevel="0" collapsed="false">
      <c r="A413" s="0" t="s">
        <v>231</v>
      </c>
      <c r="B413" s="0" t="n">
        <v>2017</v>
      </c>
      <c r="C413" s="0" t="s">
        <v>399</v>
      </c>
      <c r="D413" s="0" t="s">
        <v>319</v>
      </c>
      <c r="E413" s="0" t="s">
        <v>400</v>
      </c>
      <c r="F413" s="0" t="s">
        <v>141</v>
      </c>
      <c r="G413" s="0" t="s">
        <v>273</v>
      </c>
      <c r="H413" s="6" t="n">
        <f aca="false">'Import-dataset'!AQ5</f>
        <v>3131</v>
      </c>
    </row>
    <row r="414" customFormat="false" ht="15" hidden="false" customHeight="false" outlineLevel="0" collapsed="false">
      <c r="A414" s="0" t="s">
        <v>231</v>
      </c>
      <c r="B414" s="0" t="n">
        <v>2018</v>
      </c>
      <c r="C414" s="0" t="s">
        <v>399</v>
      </c>
      <c r="D414" s="0" t="s">
        <v>319</v>
      </c>
      <c r="E414" s="0" t="s">
        <v>400</v>
      </c>
      <c r="F414" s="0" t="s">
        <v>141</v>
      </c>
      <c r="G414" s="0" t="s">
        <v>273</v>
      </c>
      <c r="H414" s="6" t="n">
        <f aca="false">'Import-dataset'!AQ6</f>
        <v>3161</v>
      </c>
    </row>
    <row r="415" customFormat="false" ht="15" hidden="false" customHeight="false" outlineLevel="0" collapsed="false">
      <c r="A415" s="0" t="s">
        <v>231</v>
      </c>
      <c r="B415" s="0" t="n">
        <v>2019</v>
      </c>
      <c r="C415" s="0" t="s">
        <v>399</v>
      </c>
      <c r="D415" s="0" t="s">
        <v>319</v>
      </c>
      <c r="E415" s="0" t="s">
        <v>400</v>
      </c>
      <c r="F415" s="0" t="s">
        <v>141</v>
      </c>
      <c r="G415" s="0" t="s">
        <v>273</v>
      </c>
      <c r="H415" s="6" t="n">
        <f aca="false">'Import-dataset'!AQ7</f>
        <v>3090</v>
      </c>
    </row>
    <row r="416" customFormat="false" ht="15" hidden="false" customHeight="false" outlineLevel="0" collapsed="false">
      <c r="A416" s="0" t="s">
        <v>231</v>
      </c>
      <c r="B416" s="0" t="n">
        <v>2020</v>
      </c>
      <c r="C416" s="0" t="s">
        <v>399</v>
      </c>
      <c r="D416" s="0" t="s">
        <v>319</v>
      </c>
      <c r="E416" s="0" t="s">
        <v>400</v>
      </c>
      <c r="F416" s="0" t="s">
        <v>141</v>
      </c>
      <c r="G416" s="0" t="s">
        <v>273</v>
      </c>
      <c r="H416" s="6" t="n">
        <f aca="false">'Import-dataset'!AQ8</f>
        <v>4167</v>
      </c>
    </row>
    <row r="417" customFormat="false" ht="15" hidden="false" customHeight="false" outlineLevel="0" collapsed="false">
      <c r="A417" s="0" t="s">
        <v>231</v>
      </c>
      <c r="B417" s="0" t="n">
        <v>2021</v>
      </c>
      <c r="C417" s="0" t="s">
        <v>399</v>
      </c>
      <c r="D417" s="0" t="s">
        <v>319</v>
      </c>
      <c r="E417" s="0" t="s">
        <v>400</v>
      </c>
      <c r="F417" s="0" t="s">
        <v>141</v>
      </c>
      <c r="G417" s="0" t="s">
        <v>273</v>
      </c>
      <c r="H417" s="6" t="n">
        <f aca="false">'Import-dataset'!AQ9</f>
        <v>4490</v>
      </c>
    </row>
    <row r="418" customFormat="false" ht="15" hidden="false" customHeight="false" outlineLevel="0" collapsed="false">
      <c r="A418" s="0" t="s">
        <v>231</v>
      </c>
      <c r="B418" s="0" t="n">
        <v>2022</v>
      </c>
      <c r="C418" s="0" t="s">
        <v>399</v>
      </c>
      <c r="D418" s="0" t="s">
        <v>319</v>
      </c>
      <c r="E418" s="0" t="s">
        <v>400</v>
      </c>
      <c r="F418" s="0" t="s">
        <v>141</v>
      </c>
      <c r="G418" s="0" t="s">
        <v>273</v>
      </c>
      <c r="H418" s="6" t="n">
        <f aca="false">'Import-dataset'!AQ10</f>
        <v>7484</v>
      </c>
    </row>
    <row r="419" customFormat="false" ht="15" hidden="false" customHeight="false" outlineLevel="0" collapsed="false">
      <c r="A419" s="0" t="s">
        <v>231</v>
      </c>
      <c r="B419" s="0" t="n">
        <v>2023</v>
      </c>
      <c r="C419" s="0" t="s">
        <v>399</v>
      </c>
      <c r="D419" s="0" t="s">
        <v>319</v>
      </c>
      <c r="E419" s="0" t="s">
        <v>400</v>
      </c>
      <c r="F419" s="0" t="s">
        <v>141</v>
      </c>
      <c r="G419" s="0" t="s">
        <v>273</v>
      </c>
      <c r="H419" s="6" t="n">
        <f aca="false">'Import-dataset'!AQ11</f>
        <v>4973</v>
      </c>
    </row>
    <row r="420" customFormat="false" ht="15" hidden="false" customHeight="false" outlineLevel="0" collapsed="false">
      <c r="A420" s="0" t="s">
        <v>231</v>
      </c>
      <c r="B420" s="0" t="n">
        <v>2024</v>
      </c>
      <c r="C420" s="0" t="s">
        <v>399</v>
      </c>
      <c r="D420" s="0" t="s">
        <v>319</v>
      </c>
      <c r="E420" s="0" t="s">
        <v>400</v>
      </c>
      <c r="F420" s="0" t="s">
        <v>141</v>
      </c>
      <c r="G420" s="0" t="s">
        <v>273</v>
      </c>
      <c r="H420" s="6" t="n">
        <f aca="false">'Import-dataset'!AQ12</f>
        <v>5337</v>
      </c>
    </row>
    <row r="421" customFormat="false" ht="15" hidden="false" customHeight="false" outlineLevel="0" collapsed="false">
      <c r="A421" s="0" t="s">
        <v>231</v>
      </c>
      <c r="B421" s="0" t="n">
        <v>2025</v>
      </c>
      <c r="C421" s="0" t="s">
        <v>399</v>
      </c>
      <c r="D421" s="0" t="s">
        <v>319</v>
      </c>
      <c r="E421" s="0" t="s">
        <v>400</v>
      </c>
      <c r="F421" s="0" t="s">
        <v>141</v>
      </c>
      <c r="G421" s="0" t="s">
        <v>273</v>
      </c>
      <c r="H421" s="6" t="n">
        <f aca="false">'Import-dataset'!AQ13</f>
        <v>5504</v>
      </c>
    </row>
    <row r="422" customFormat="false" ht="15" hidden="false" customHeight="false" outlineLevel="0" collapsed="false">
      <c r="A422" s="0" t="s">
        <v>231</v>
      </c>
      <c r="B422" s="0" t="n">
        <v>2016</v>
      </c>
      <c r="C422" s="0" t="s">
        <v>401</v>
      </c>
      <c r="D422" s="0" t="s">
        <v>316</v>
      </c>
      <c r="E422" s="0" t="s">
        <v>402</v>
      </c>
      <c r="F422" s="0" t="s">
        <v>141</v>
      </c>
      <c r="G422" s="0" t="s">
        <v>274</v>
      </c>
      <c r="H422" s="6" t="n">
        <f aca="false">'Import-dataset'!AR4</f>
        <v>28223</v>
      </c>
    </row>
    <row r="423" customFormat="false" ht="15" hidden="false" customHeight="false" outlineLevel="0" collapsed="false">
      <c r="A423" s="0" t="s">
        <v>231</v>
      </c>
      <c r="B423" s="0" t="n">
        <v>2017</v>
      </c>
      <c r="C423" s="0" t="s">
        <v>401</v>
      </c>
      <c r="D423" s="0" t="s">
        <v>316</v>
      </c>
      <c r="E423" s="0" t="s">
        <v>402</v>
      </c>
      <c r="F423" s="0" t="s">
        <v>141</v>
      </c>
      <c r="G423" s="0" t="s">
        <v>274</v>
      </c>
      <c r="H423" s="6" t="n">
        <f aca="false">'Import-dataset'!AR5</f>
        <v>28701</v>
      </c>
    </row>
    <row r="424" customFormat="false" ht="15" hidden="false" customHeight="false" outlineLevel="0" collapsed="false">
      <c r="A424" s="0" t="s">
        <v>231</v>
      </c>
      <c r="B424" s="0" t="n">
        <v>2018</v>
      </c>
      <c r="C424" s="0" t="s">
        <v>401</v>
      </c>
      <c r="D424" s="0" t="s">
        <v>316</v>
      </c>
      <c r="E424" s="0" t="s">
        <v>402</v>
      </c>
      <c r="F424" s="0" t="s">
        <v>141</v>
      </c>
      <c r="G424" s="0" t="s">
        <v>274</v>
      </c>
      <c r="H424" s="6" t="n">
        <f aca="false">'Import-dataset'!AR6</f>
        <v>32443</v>
      </c>
    </row>
    <row r="425" customFormat="false" ht="15" hidden="false" customHeight="false" outlineLevel="0" collapsed="false">
      <c r="A425" s="0" t="s">
        <v>231</v>
      </c>
      <c r="B425" s="0" t="n">
        <v>2019</v>
      </c>
      <c r="C425" s="0" t="s">
        <v>401</v>
      </c>
      <c r="D425" s="0" t="s">
        <v>316</v>
      </c>
      <c r="E425" s="0" t="s">
        <v>402</v>
      </c>
      <c r="F425" s="0" t="s">
        <v>141</v>
      </c>
      <c r="G425" s="0" t="s">
        <v>274</v>
      </c>
      <c r="H425" s="6" t="n">
        <f aca="false">'Import-dataset'!AR7</f>
        <v>32286</v>
      </c>
    </row>
    <row r="426" customFormat="false" ht="15" hidden="false" customHeight="false" outlineLevel="0" collapsed="false">
      <c r="A426" s="0" t="s">
        <v>231</v>
      </c>
      <c r="B426" s="0" t="n">
        <v>2020</v>
      </c>
      <c r="C426" s="0" t="s">
        <v>401</v>
      </c>
      <c r="D426" s="0" t="s">
        <v>316</v>
      </c>
      <c r="E426" s="0" t="s">
        <v>402</v>
      </c>
      <c r="F426" s="0" t="s">
        <v>141</v>
      </c>
      <c r="G426" s="0" t="s">
        <v>274</v>
      </c>
      <c r="H426" s="6" t="n">
        <f aca="false">'Import-dataset'!AR8</f>
        <v>34399</v>
      </c>
    </row>
    <row r="427" customFormat="false" ht="15" hidden="false" customHeight="false" outlineLevel="0" collapsed="false">
      <c r="A427" s="0" t="s">
        <v>231</v>
      </c>
      <c r="B427" s="0" t="n">
        <v>2021</v>
      </c>
      <c r="C427" s="0" t="s">
        <v>401</v>
      </c>
      <c r="D427" s="0" t="s">
        <v>316</v>
      </c>
      <c r="E427" s="0" t="s">
        <v>402</v>
      </c>
      <c r="F427" s="0" t="s">
        <v>141</v>
      </c>
      <c r="G427" s="0" t="s">
        <v>274</v>
      </c>
      <c r="H427" s="6" t="n">
        <f aca="false">'Import-dataset'!AR9</f>
        <v>36977</v>
      </c>
    </row>
    <row r="428" customFormat="false" ht="15" hidden="false" customHeight="false" outlineLevel="0" collapsed="false">
      <c r="A428" s="0" t="s">
        <v>231</v>
      </c>
      <c r="B428" s="0" t="n">
        <v>2022</v>
      </c>
      <c r="C428" s="0" t="s">
        <v>401</v>
      </c>
      <c r="D428" s="0" t="s">
        <v>316</v>
      </c>
      <c r="E428" s="0" t="s">
        <v>402</v>
      </c>
      <c r="F428" s="0" t="s">
        <v>141</v>
      </c>
      <c r="G428" s="0" t="s">
        <v>274</v>
      </c>
      <c r="H428" s="6" t="n">
        <f aca="false">'Import-dataset'!AR10</f>
        <v>44021</v>
      </c>
    </row>
    <row r="429" customFormat="false" ht="15" hidden="false" customHeight="false" outlineLevel="0" collapsed="false">
      <c r="A429" s="0" t="s">
        <v>231</v>
      </c>
      <c r="B429" s="0" t="n">
        <v>2023</v>
      </c>
      <c r="C429" s="0" t="s">
        <v>401</v>
      </c>
      <c r="D429" s="0" t="s">
        <v>316</v>
      </c>
      <c r="E429" s="0" t="s">
        <v>402</v>
      </c>
      <c r="F429" s="0" t="s">
        <v>141</v>
      </c>
      <c r="G429" s="0" t="s">
        <v>274</v>
      </c>
      <c r="H429" s="6" t="n">
        <f aca="false">'Import-dataset'!AR11</f>
        <v>40640</v>
      </c>
    </row>
    <row r="430" customFormat="false" ht="15" hidden="false" customHeight="false" outlineLevel="0" collapsed="false">
      <c r="A430" s="0" t="s">
        <v>231</v>
      </c>
      <c r="B430" s="0" t="n">
        <v>2024</v>
      </c>
      <c r="C430" s="0" t="s">
        <v>401</v>
      </c>
      <c r="D430" s="0" t="s">
        <v>316</v>
      </c>
      <c r="E430" s="0" t="s">
        <v>402</v>
      </c>
      <c r="F430" s="0" t="s">
        <v>141</v>
      </c>
      <c r="G430" s="0" t="s">
        <v>274</v>
      </c>
      <c r="H430" s="6" t="n">
        <f aca="false">'Import-dataset'!AR12</f>
        <v>43611</v>
      </c>
    </row>
    <row r="431" customFormat="false" ht="15" hidden="false" customHeight="false" outlineLevel="0" collapsed="false">
      <c r="A431" s="0" t="s">
        <v>231</v>
      </c>
      <c r="B431" s="0" t="n">
        <v>2025</v>
      </c>
      <c r="C431" s="0" t="s">
        <v>401</v>
      </c>
      <c r="D431" s="0" t="s">
        <v>316</v>
      </c>
      <c r="E431" s="0" t="s">
        <v>402</v>
      </c>
      <c r="F431" s="0" t="s">
        <v>141</v>
      </c>
      <c r="G431" s="0" t="s">
        <v>274</v>
      </c>
      <c r="H431" s="6" t="n">
        <f aca="false">'Import-dataset'!AR13</f>
        <v>45872</v>
      </c>
    </row>
    <row r="432" customFormat="false" ht="15" hidden="false" customHeight="false" outlineLevel="0" collapsed="false">
      <c r="A432" s="0" t="s">
        <v>231</v>
      </c>
      <c r="B432" s="0" t="n">
        <v>2016</v>
      </c>
      <c r="C432" s="0" t="s">
        <v>403</v>
      </c>
      <c r="D432" s="0" t="s">
        <v>319</v>
      </c>
      <c r="E432" s="0" t="s">
        <v>404</v>
      </c>
      <c r="F432" s="0" t="s">
        <v>141</v>
      </c>
      <c r="G432" s="0" t="s">
        <v>275</v>
      </c>
      <c r="H432" s="6" t="n">
        <f aca="false">'Import-dataset'!AS4</f>
        <v>164</v>
      </c>
    </row>
    <row r="433" customFormat="false" ht="15" hidden="false" customHeight="false" outlineLevel="0" collapsed="false">
      <c r="A433" s="0" t="s">
        <v>231</v>
      </c>
      <c r="B433" s="0" t="n">
        <v>2017</v>
      </c>
      <c r="C433" s="0" t="s">
        <v>403</v>
      </c>
      <c r="D433" s="0" t="s">
        <v>319</v>
      </c>
      <c r="E433" s="0" t="s">
        <v>404</v>
      </c>
      <c r="F433" s="0" t="s">
        <v>141</v>
      </c>
      <c r="G433" s="0" t="s">
        <v>275</v>
      </c>
      <c r="H433" s="6" t="n">
        <f aca="false">'Import-dataset'!AS5</f>
        <v>160</v>
      </c>
    </row>
    <row r="434" customFormat="false" ht="15" hidden="false" customHeight="false" outlineLevel="0" collapsed="false">
      <c r="A434" s="0" t="s">
        <v>231</v>
      </c>
      <c r="B434" s="0" t="n">
        <v>2018</v>
      </c>
      <c r="C434" s="0" t="s">
        <v>403</v>
      </c>
      <c r="D434" s="0" t="s">
        <v>319</v>
      </c>
      <c r="E434" s="0" t="s">
        <v>404</v>
      </c>
      <c r="F434" s="0" t="s">
        <v>141</v>
      </c>
      <c r="G434" s="0" t="s">
        <v>275</v>
      </c>
      <c r="H434" s="6" t="n">
        <f aca="false">'Import-dataset'!AS6</f>
        <v>154</v>
      </c>
    </row>
    <row r="435" customFormat="false" ht="15" hidden="false" customHeight="false" outlineLevel="0" collapsed="false">
      <c r="A435" s="0" t="s">
        <v>231</v>
      </c>
      <c r="B435" s="0" t="n">
        <v>2019</v>
      </c>
      <c r="C435" s="0" t="s">
        <v>403</v>
      </c>
      <c r="D435" s="0" t="s">
        <v>319</v>
      </c>
      <c r="E435" s="0" t="s">
        <v>404</v>
      </c>
      <c r="F435" s="0" t="s">
        <v>141</v>
      </c>
      <c r="G435" s="0" t="s">
        <v>275</v>
      </c>
      <c r="H435" s="6" t="n">
        <f aca="false">'Import-dataset'!AS7</f>
        <v>143</v>
      </c>
    </row>
    <row r="436" customFormat="false" ht="15" hidden="false" customHeight="false" outlineLevel="0" collapsed="false">
      <c r="A436" s="0" t="s">
        <v>231</v>
      </c>
      <c r="B436" s="0" t="n">
        <v>2020</v>
      </c>
      <c r="C436" s="0" t="s">
        <v>403</v>
      </c>
      <c r="D436" s="0" t="s">
        <v>319</v>
      </c>
      <c r="E436" s="0" t="s">
        <v>404</v>
      </c>
      <c r="F436" s="0" t="s">
        <v>141</v>
      </c>
      <c r="G436" s="0" t="s">
        <v>275</v>
      </c>
      <c r="H436" s="6" t="n">
        <f aca="false">'Import-dataset'!AS8</f>
        <v>135</v>
      </c>
    </row>
    <row r="437" customFormat="false" ht="15" hidden="false" customHeight="false" outlineLevel="0" collapsed="false">
      <c r="A437" s="0" t="s">
        <v>231</v>
      </c>
      <c r="B437" s="0" t="n">
        <v>2021</v>
      </c>
      <c r="C437" s="0" t="s">
        <v>403</v>
      </c>
      <c r="D437" s="0" t="s">
        <v>319</v>
      </c>
      <c r="E437" s="0" t="s">
        <v>404</v>
      </c>
      <c r="F437" s="0" t="s">
        <v>141</v>
      </c>
      <c r="G437" s="0" t="s">
        <v>275</v>
      </c>
      <c r="H437" s="6" t="n">
        <f aca="false">'Import-dataset'!AS9</f>
        <v>174</v>
      </c>
    </row>
    <row r="438" customFormat="false" ht="15" hidden="false" customHeight="false" outlineLevel="0" collapsed="false">
      <c r="A438" s="0" t="s">
        <v>231</v>
      </c>
      <c r="B438" s="0" t="n">
        <v>2022</v>
      </c>
      <c r="C438" s="0" t="s">
        <v>403</v>
      </c>
      <c r="D438" s="0" t="s">
        <v>319</v>
      </c>
      <c r="E438" s="0" t="s">
        <v>404</v>
      </c>
      <c r="F438" s="0" t="s">
        <v>141</v>
      </c>
      <c r="G438" s="0" t="s">
        <v>275</v>
      </c>
      <c r="H438" s="6" t="n">
        <f aca="false">'Import-dataset'!AS10</f>
        <v>202</v>
      </c>
    </row>
    <row r="439" customFormat="false" ht="15" hidden="false" customHeight="false" outlineLevel="0" collapsed="false">
      <c r="A439" s="0" t="s">
        <v>231</v>
      </c>
      <c r="B439" s="0" t="n">
        <v>2023</v>
      </c>
      <c r="C439" s="0" t="s">
        <v>403</v>
      </c>
      <c r="D439" s="0" t="s">
        <v>319</v>
      </c>
      <c r="E439" s="0" t="s">
        <v>404</v>
      </c>
      <c r="F439" s="0" t="s">
        <v>141</v>
      </c>
      <c r="G439" s="0" t="s">
        <v>275</v>
      </c>
      <c r="H439" s="6" t="n">
        <f aca="false">'Import-dataset'!AS11</f>
        <v>176</v>
      </c>
    </row>
    <row r="440" customFormat="false" ht="15" hidden="false" customHeight="false" outlineLevel="0" collapsed="false">
      <c r="A440" s="0" t="s">
        <v>231</v>
      </c>
      <c r="B440" s="0" t="n">
        <v>2024</v>
      </c>
      <c r="C440" s="0" t="s">
        <v>403</v>
      </c>
      <c r="D440" s="0" t="s">
        <v>319</v>
      </c>
      <c r="E440" s="0" t="s">
        <v>404</v>
      </c>
      <c r="F440" s="0" t="s">
        <v>141</v>
      </c>
      <c r="G440" s="0" t="s">
        <v>275</v>
      </c>
      <c r="H440" s="6" t="n">
        <f aca="false">'Import-dataset'!AS12</f>
        <v>151</v>
      </c>
    </row>
    <row r="441" customFormat="false" ht="15" hidden="false" customHeight="false" outlineLevel="0" collapsed="false">
      <c r="A441" s="0" t="s">
        <v>231</v>
      </c>
      <c r="B441" s="0" t="n">
        <v>2025</v>
      </c>
      <c r="C441" s="0" t="s">
        <v>403</v>
      </c>
      <c r="D441" s="0" t="s">
        <v>319</v>
      </c>
      <c r="E441" s="0" t="s">
        <v>404</v>
      </c>
      <c r="F441" s="0" t="s">
        <v>141</v>
      </c>
      <c r="G441" s="0" t="s">
        <v>275</v>
      </c>
      <c r="H441" s="6" t="n">
        <f aca="false">'Import-dataset'!AS13</f>
        <v>150</v>
      </c>
    </row>
    <row r="442" customFormat="false" ht="15" hidden="false" customHeight="false" outlineLevel="0" collapsed="false">
      <c r="A442" s="0" t="s">
        <v>231</v>
      </c>
      <c r="B442" s="0" t="n">
        <v>2016</v>
      </c>
      <c r="C442" s="0" t="s">
        <v>405</v>
      </c>
      <c r="D442" s="0" t="s">
        <v>319</v>
      </c>
      <c r="E442" s="0" t="s">
        <v>406</v>
      </c>
      <c r="F442" s="0" t="s">
        <v>141</v>
      </c>
      <c r="G442" s="0" t="s">
        <v>276</v>
      </c>
      <c r="H442" s="6" t="n">
        <f aca="false">'Import-dataset'!AT4</f>
        <v>3399</v>
      </c>
    </row>
    <row r="443" customFormat="false" ht="15" hidden="false" customHeight="false" outlineLevel="0" collapsed="false">
      <c r="A443" s="0" t="s">
        <v>231</v>
      </c>
      <c r="B443" s="0" t="n">
        <v>2017</v>
      </c>
      <c r="C443" s="0" t="s">
        <v>405</v>
      </c>
      <c r="D443" s="0" t="s">
        <v>319</v>
      </c>
      <c r="E443" s="0" t="s">
        <v>406</v>
      </c>
      <c r="F443" s="0" t="s">
        <v>141</v>
      </c>
      <c r="G443" s="0" t="s">
        <v>276</v>
      </c>
      <c r="H443" s="6" t="n">
        <f aca="false">'Import-dataset'!AT5</f>
        <v>3580</v>
      </c>
    </row>
    <row r="444" customFormat="false" ht="15" hidden="false" customHeight="false" outlineLevel="0" collapsed="false">
      <c r="A444" s="0" t="s">
        <v>231</v>
      </c>
      <c r="B444" s="0" t="n">
        <v>2018</v>
      </c>
      <c r="C444" s="0" t="s">
        <v>405</v>
      </c>
      <c r="D444" s="0" t="s">
        <v>319</v>
      </c>
      <c r="E444" s="0" t="s">
        <v>406</v>
      </c>
      <c r="F444" s="0" t="s">
        <v>141</v>
      </c>
      <c r="G444" s="0" t="s">
        <v>276</v>
      </c>
      <c r="H444" s="6" t="n">
        <f aca="false">'Import-dataset'!AT6</f>
        <v>3966</v>
      </c>
    </row>
    <row r="445" customFormat="false" ht="15" hidden="false" customHeight="false" outlineLevel="0" collapsed="false">
      <c r="A445" s="0" t="s">
        <v>231</v>
      </c>
      <c r="B445" s="0" t="n">
        <v>2019</v>
      </c>
      <c r="C445" s="0" t="s">
        <v>405</v>
      </c>
      <c r="D445" s="0" t="s">
        <v>319</v>
      </c>
      <c r="E445" s="0" t="s">
        <v>406</v>
      </c>
      <c r="F445" s="0" t="s">
        <v>141</v>
      </c>
      <c r="G445" s="0" t="s">
        <v>276</v>
      </c>
      <c r="H445" s="6" t="n">
        <f aca="false">'Import-dataset'!AT7</f>
        <v>4242</v>
      </c>
    </row>
    <row r="446" customFormat="false" ht="15" hidden="false" customHeight="false" outlineLevel="0" collapsed="false">
      <c r="A446" s="0" t="s">
        <v>231</v>
      </c>
      <c r="B446" s="0" t="n">
        <v>2020</v>
      </c>
      <c r="C446" s="0" t="s">
        <v>405</v>
      </c>
      <c r="D446" s="0" t="s">
        <v>319</v>
      </c>
      <c r="E446" s="0" t="s">
        <v>406</v>
      </c>
      <c r="F446" s="0" t="s">
        <v>141</v>
      </c>
      <c r="G446" s="0" t="s">
        <v>276</v>
      </c>
      <c r="H446" s="6" t="n">
        <f aca="false">'Import-dataset'!AT8</f>
        <v>4089</v>
      </c>
    </row>
    <row r="447" customFormat="false" ht="15" hidden="false" customHeight="false" outlineLevel="0" collapsed="false">
      <c r="A447" s="0" t="s">
        <v>231</v>
      </c>
      <c r="B447" s="0" t="n">
        <v>2021</v>
      </c>
      <c r="C447" s="0" t="s">
        <v>405</v>
      </c>
      <c r="D447" s="0" t="s">
        <v>319</v>
      </c>
      <c r="E447" s="0" t="s">
        <v>406</v>
      </c>
      <c r="F447" s="0" t="s">
        <v>141</v>
      </c>
      <c r="G447" s="0" t="s">
        <v>276</v>
      </c>
      <c r="H447" s="6" t="n">
        <f aca="false">'Import-dataset'!AT9</f>
        <v>4349</v>
      </c>
    </row>
    <row r="448" customFormat="false" ht="15" hidden="false" customHeight="false" outlineLevel="0" collapsed="false">
      <c r="A448" s="0" t="s">
        <v>231</v>
      </c>
      <c r="B448" s="0" t="n">
        <v>2022</v>
      </c>
      <c r="C448" s="0" t="s">
        <v>405</v>
      </c>
      <c r="D448" s="0" t="s">
        <v>319</v>
      </c>
      <c r="E448" s="0" t="s">
        <v>406</v>
      </c>
      <c r="F448" s="0" t="s">
        <v>141</v>
      </c>
      <c r="G448" s="0" t="s">
        <v>276</v>
      </c>
      <c r="H448" s="6" t="n">
        <f aca="false">'Import-dataset'!AT10</f>
        <v>5123</v>
      </c>
    </row>
    <row r="449" customFormat="false" ht="15" hidden="false" customHeight="false" outlineLevel="0" collapsed="false">
      <c r="A449" s="0" t="s">
        <v>231</v>
      </c>
      <c r="B449" s="0" t="n">
        <v>2023</v>
      </c>
      <c r="C449" s="0" t="s">
        <v>405</v>
      </c>
      <c r="D449" s="0" t="s">
        <v>319</v>
      </c>
      <c r="E449" s="0" t="s">
        <v>406</v>
      </c>
      <c r="F449" s="0" t="s">
        <v>141</v>
      </c>
      <c r="G449" s="0" t="s">
        <v>276</v>
      </c>
      <c r="H449" s="6" t="n">
        <f aca="false">'Import-dataset'!AT11</f>
        <v>5189</v>
      </c>
    </row>
    <row r="450" customFormat="false" ht="15" hidden="false" customHeight="false" outlineLevel="0" collapsed="false">
      <c r="A450" s="0" t="s">
        <v>231</v>
      </c>
      <c r="B450" s="0" t="n">
        <v>2024</v>
      </c>
      <c r="C450" s="0" t="s">
        <v>405</v>
      </c>
      <c r="D450" s="0" t="s">
        <v>319</v>
      </c>
      <c r="E450" s="0" t="s">
        <v>406</v>
      </c>
      <c r="F450" s="0" t="s">
        <v>141</v>
      </c>
      <c r="G450" s="0" t="s">
        <v>276</v>
      </c>
      <c r="H450" s="6" t="n">
        <f aca="false">'Import-dataset'!AT12</f>
        <v>5553</v>
      </c>
    </row>
    <row r="451" customFormat="false" ht="15" hidden="false" customHeight="false" outlineLevel="0" collapsed="false">
      <c r="A451" s="0" t="s">
        <v>231</v>
      </c>
      <c r="B451" s="0" t="n">
        <v>2025</v>
      </c>
      <c r="C451" s="0" t="s">
        <v>405</v>
      </c>
      <c r="D451" s="0" t="s">
        <v>319</v>
      </c>
      <c r="E451" s="0" t="s">
        <v>406</v>
      </c>
      <c r="F451" s="0" t="s">
        <v>141</v>
      </c>
      <c r="G451" s="0" t="s">
        <v>276</v>
      </c>
      <c r="H451" s="6" t="n">
        <f aca="false">'Import-dataset'!AT13</f>
        <v>5746</v>
      </c>
    </row>
    <row r="452" customFormat="false" ht="15" hidden="false" customHeight="false" outlineLevel="0" collapsed="false">
      <c r="A452" s="0" t="s">
        <v>231</v>
      </c>
      <c r="B452" s="0" t="n">
        <v>2016</v>
      </c>
      <c r="C452" s="0" t="s">
        <v>407</v>
      </c>
      <c r="D452" s="0" t="s">
        <v>319</v>
      </c>
      <c r="E452" s="0" t="s">
        <v>408</v>
      </c>
      <c r="F452" s="0" t="s">
        <v>141</v>
      </c>
      <c r="G452" s="0" t="s">
        <v>277</v>
      </c>
      <c r="H452" s="6" t="n">
        <f aca="false">'Import-dataset'!AU4</f>
        <v>1305</v>
      </c>
    </row>
    <row r="453" customFormat="false" ht="15" hidden="false" customHeight="false" outlineLevel="0" collapsed="false">
      <c r="A453" s="0" t="s">
        <v>231</v>
      </c>
      <c r="B453" s="0" t="n">
        <v>2017</v>
      </c>
      <c r="C453" s="0" t="s">
        <v>407</v>
      </c>
      <c r="D453" s="0" t="s">
        <v>319</v>
      </c>
      <c r="E453" s="0" t="s">
        <v>408</v>
      </c>
      <c r="F453" s="0" t="s">
        <v>141</v>
      </c>
      <c r="G453" s="0" t="s">
        <v>277</v>
      </c>
      <c r="H453" s="6" t="n">
        <f aca="false">'Import-dataset'!AU5</f>
        <v>1408</v>
      </c>
    </row>
    <row r="454" customFormat="false" ht="15" hidden="false" customHeight="false" outlineLevel="0" collapsed="false">
      <c r="A454" s="0" t="s">
        <v>231</v>
      </c>
      <c r="B454" s="0" t="n">
        <v>2018</v>
      </c>
      <c r="C454" s="0" t="s">
        <v>407</v>
      </c>
      <c r="D454" s="0" t="s">
        <v>319</v>
      </c>
      <c r="E454" s="0" t="s">
        <v>408</v>
      </c>
      <c r="F454" s="0" t="s">
        <v>141</v>
      </c>
      <c r="G454" s="0" t="s">
        <v>277</v>
      </c>
      <c r="H454" s="6" t="n">
        <f aca="false">'Import-dataset'!AU6</f>
        <v>1596</v>
      </c>
    </row>
    <row r="455" customFormat="false" ht="15" hidden="false" customHeight="false" outlineLevel="0" collapsed="false">
      <c r="A455" s="0" t="s">
        <v>231</v>
      </c>
      <c r="B455" s="0" t="n">
        <v>2019</v>
      </c>
      <c r="C455" s="0" t="s">
        <v>407</v>
      </c>
      <c r="D455" s="0" t="s">
        <v>319</v>
      </c>
      <c r="E455" s="0" t="s">
        <v>408</v>
      </c>
      <c r="F455" s="0" t="s">
        <v>141</v>
      </c>
      <c r="G455" s="0" t="s">
        <v>277</v>
      </c>
      <c r="H455" s="6" t="n">
        <f aca="false">'Import-dataset'!AU7</f>
        <v>1517</v>
      </c>
    </row>
    <row r="456" customFormat="false" ht="15" hidden="false" customHeight="false" outlineLevel="0" collapsed="false">
      <c r="A456" s="0" t="s">
        <v>231</v>
      </c>
      <c r="B456" s="0" t="n">
        <v>2020</v>
      </c>
      <c r="C456" s="0" t="s">
        <v>407</v>
      </c>
      <c r="D456" s="0" t="s">
        <v>319</v>
      </c>
      <c r="E456" s="0" t="s">
        <v>408</v>
      </c>
      <c r="F456" s="0" t="s">
        <v>141</v>
      </c>
      <c r="G456" s="0" t="s">
        <v>277</v>
      </c>
      <c r="H456" s="6" t="n">
        <f aca="false">'Import-dataset'!AU8</f>
        <v>1419</v>
      </c>
    </row>
    <row r="457" customFormat="false" ht="15" hidden="false" customHeight="false" outlineLevel="0" collapsed="false">
      <c r="A457" s="0" t="s">
        <v>231</v>
      </c>
      <c r="B457" s="0" t="n">
        <v>2021</v>
      </c>
      <c r="C457" s="0" t="s">
        <v>407</v>
      </c>
      <c r="D457" s="0" t="s">
        <v>319</v>
      </c>
      <c r="E457" s="0" t="s">
        <v>408</v>
      </c>
      <c r="F457" s="0" t="s">
        <v>141</v>
      </c>
      <c r="G457" s="0" t="s">
        <v>277</v>
      </c>
      <c r="H457" s="6" t="n">
        <f aca="false">'Import-dataset'!AU9</f>
        <v>1678</v>
      </c>
    </row>
    <row r="458" customFormat="false" ht="15" hidden="false" customHeight="false" outlineLevel="0" collapsed="false">
      <c r="A458" s="0" t="s">
        <v>231</v>
      </c>
      <c r="B458" s="0" t="n">
        <v>2022</v>
      </c>
      <c r="C458" s="0" t="s">
        <v>407</v>
      </c>
      <c r="D458" s="0" t="s">
        <v>319</v>
      </c>
      <c r="E458" s="0" t="s">
        <v>408</v>
      </c>
      <c r="F458" s="0" t="s">
        <v>141</v>
      </c>
      <c r="G458" s="0" t="s">
        <v>277</v>
      </c>
      <c r="H458" s="6" t="n">
        <f aca="false">'Import-dataset'!AU10</f>
        <v>2045</v>
      </c>
    </row>
    <row r="459" customFormat="false" ht="15" hidden="false" customHeight="false" outlineLevel="0" collapsed="false">
      <c r="A459" s="0" t="s">
        <v>231</v>
      </c>
      <c r="B459" s="0" t="n">
        <v>2023</v>
      </c>
      <c r="C459" s="0" t="s">
        <v>407</v>
      </c>
      <c r="D459" s="0" t="s">
        <v>319</v>
      </c>
      <c r="E459" s="0" t="s">
        <v>408</v>
      </c>
      <c r="F459" s="0" t="s">
        <v>141</v>
      </c>
      <c r="G459" s="0" t="s">
        <v>277</v>
      </c>
      <c r="H459" s="6" t="n">
        <f aca="false">'Import-dataset'!AU11</f>
        <v>1733</v>
      </c>
    </row>
    <row r="460" customFormat="false" ht="15" hidden="false" customHeight="false" outlineLevel="0" collapsed="false">
      <c r="A460" s="0" t="s">
        <v>231</v>
      </c>
      <c r="B460" s="0" t="n">
        <v>2024</v>
      </c>
      <c r="C460" s="0" t="s">
        <v>407</v>
      </c>
      <c r="D460" s="0" t="s">
        <v>319</v>
      </c>
      <c r="E460" s="0" t="s">
        <v>408</v>
      </c>
      <c r="F460" s="0" t="s">
        <v>141</v>
      </c>
      <c r="G460" s="0" t="s">
        <v>277</v>
      </c>
      <c r="H460" s="6" t="n">
        <f aca="false">'Import-dataset'!AU12</f>
        <v>1776</v>
      </c>
    </row>
    <row r="461" customFormat="false" ht="15" hidden="false" customHeight="false" outlineLevel="0" collapsed="false">
      <c r="A461" s="0" t="s">
        <v>231</v>
      </c>
      <c r="B461" s="0" t="n">
        <v>2025</v>
      </c>
      <c r="C461" s="0" t="s">
        <v>407</v>
      </c>
      <c r="D461" s="0" t="s">
        <v>319</v>
      </c>
      <c r="E461" s="0" t="s">
        <v>408</v>
      </c>
      <c r="F461" s="0" t="s">
        <v>141</v>
      </c>
      <c r="G461" s="0" t="s">
        <v>277</v>
      </c>
      <c r="H461" s="6" t="n">
        <f aca="false">'Import-dataset'!AU13</f>
        <v>1879</v>
      </c>
    </row>
    <row r="462" customFormat="false" ht="15" hidden="false" customHeight="false" outlineLevel="0" collapsed="false">
      <c r="A462" s="0" t="s">
        <v>231</v>
      </c>
      <c r="B462" s="0" t="n">
        <v>2016</v>
      </c>
      <c r="C462" s="0" t="s">
        <v>409</v>
      </c>
      <c r="D462" s="0" t="s">
        <v>319</v>
      </c>
      <c r="E462" s="0" t="s">
        <v>410</v>
      </c>
      <c r="F462" s="0" t="s">
        <v>141</v>
      </c>
      <c r="G462" s="0" t="s">
        <v>278</v>
      </c>
      <c r="H462" s="6" t="n">
        <f aca="false">'Import-dataset'!AV4</f>
        <v>2999</v>
      </c>
    </row>
    <row r="463" customFormat="false" ht="15" hidden="false" customHeight="false" outlineLevel="0" collapsed="false">
      <c r="A463" s="0" t="s">
        <v>231</v>
      </c>
      <c r="B463" s="0" t="n">
        <v>2017</v>
      </c>
      <c r="C463" s="0" t="s">
        <v>409</v>
      </c>
      <c r="D463" s="0" t="s">
        <v>319</v>
      </c>
      <c r="E463" s="0" t="s">
        <v>410</v>
      </c>
      <c r="F463" s="0" t="s">
        <v>141</v>
      </c>
      <c r="G463" s="0" t="s">
        <v>278</v>
      </c>
      <c r="H463" s="6" t="n">
        <f aca="false">'Import-dataset'!AV5</f>
        <v>2935</v>
      </c>
    </row>
    <row r="464" customFormat="false" ht="15" hidden="false" customHeight="false" outlineLevel="0" collapsed="false">
      <c r="A464" s="0" t="s">
        <v>231</v>
      </c>
      <c r="B464" s="0" t="n">
        <v>2018</v>
      </c>
      <c r="C464" s="0" t="s">
        <v>409</v>
      </c>
      <c r="D464" s="0" t="s">
        <v>319</v>
      </c>
      <c r="E464" s="0" t="s">
        <v>410</v>
      </c>
      <c r="F464" s="0" t="s">
        <v>141</v>
      </c>
      <c r="G464" s="0" t="s">
        <v>278</v>
      </c>
      <c r="H464" s="6" t="n">
        <f aca="false">'Import-dataset'!AV6</f>
        <v>3163</v>
      </c>
    </row>
    <row r="465" customFormat="false" ht="15" hidden="false" customHeight="false" outlineLevel="0" collapsed="false">
      <c r="A465" s="0" t="s">
        <v>231</v>
      </c>
      <c r="B465" s="0" t="n">
        <v>2019</v>
      </c>
      <c r="C465" s="0" t="s">
        <v>409</v>
      </c>
      <c r="D465" s="0" t="s">
        <v>319</v>
      </c>
      <c r="E465" s="0" t="s">
        <v>410</v>
      </c>
      <c r="F465" s="0" t="s">
        <v>141</v>
      </c>
      <c r="G465" s="0" t="s">
        <v>278</v>
      </c>
      <c r="H465" s="6" t="n">
        <f aca="false">'Import-dataset'!AV7</f>
        <v>3336</v>
      </c>
    </row>
    <row r="466" customFormat="false" ht="15" hidden="false" customHeight="false" outlineLevel="0" collapsed="false">
      <c r="A466" s="0" t="s">
        <v>231</v>
      </c>
      <c r="B466" s="0" t="n">
        <v>2020</v>
      </c>
      <c r="C466" s="0" t="s">
        <v>409</v>
      </c>
      <c r="D466" s="0" t="s">
        <v>319</v>
      </c>
      <c r="E466" s="0" t="s">
        <v>410</v>
      </c>
      <c r="F466" s="0" t="s">
        <v>141</v>
      </c>
      <c r="G466" s="0" t="s">
        <v>278</v>
      </c>
      <c r="H466" s="6" t="n">
        <f aca="false">'Import-dataset'!AV8</f>
        <v>3274</v>
      </c>
    </row>
    <row r="467" customFormat="false" ht="15" hidden="false" customHeight="false" outlineLevel="0" collapsed="false">
      <c r="A467" s="0" t="s">
        <v>231</v>
      </c>
      <c r="B467" s="0" t="n">
        <v>2021</v>
      </c>
      <c r="C467" s="0" t="s">
        <v>409</v>
      </c>
      <c r="D467" s="0" t="s">
        <v>319</v>
      </c>
      <c r="E467" s="0" t="s">
        <v>410</v>
      </c>
      <c r="F467" s="0" t="s">
        <v>141</v>
      </c>
      <c r="G467" s="0" t="s">
        <v>278</v>
      </c>
      <c r="H467" s="6" t="n">
        <f aca="false">'Import-dataset'!AV9</f>
        <v>3217</v>
      </c>
    </row>
    <row r="468" customFormat="false" ht="15" hidden="false" customHeight="false" outlineLevel="0" collapsed="false">
      <c r="A468" s="0" t="s">
        <v>231</v>
      </c>
      <c r="B468" s="0" t="n">
        <v>2022</v>
      </c>
      <c r="C468" s="0" t="s">
        <v>409</v>
      </c>
      <c r="D468" s="0" t="s">
        <v>319</v>
      </c>
      <c r="E468" s="0" t="s">
        <v>410</v>
      </c>
      <c r="F468" s="0" t="s">
        <v>141</v>
      </c>
      <c r="G468" s="0" t="s">
        <v>278</v>
      </c>
      <c r="H468" s="6" t="n">
        <f aca="false">'Import-dataset'!AV10</f>
        <v>3802</v>
      </c>
    </row>
    <row r="469" customFormat="false" ht="15" hidden="false" customHeight="false" outlineLevel="0" collapsed="false">
      <c r="A469" s="0" t="s">
        <v>231</v>
      </c>
      <c r="B469" s="0" t="n">
        <v>2023</v>
      </c>
      <c r="C469" s="0" t="s">
        <v>409</v>
      </c>
      <c r="D469" s="0" t="s">
        <v>319</v>
      </c>
      <c r="E469" s="0" t="s">
        <v>410</v>
      </c>
      <c r="F469" s="0" t="s">
        <v>141</v>
      </c>
      <c r="G469" s="0" t="s">
        <v>278</v>
      </c>
      <c r="H469" s="6" t="n">
        <f aca="false">'Import-dataset'!AV11</f>
        <v>3827</v>
      </c>
    </row>
    <row r="470" customFormat="false" ht="15" hidden="false" customHeight="false" outlineLevel="0" collapsed="false">
      <c r="A470" s="0" t="s">
        <v>231</v>
      </c>
      <c r="B470" s="0" t="n">
        <v>2024</v>
      </c>
      <c r="C470" s="0" t="s">
        <v>409</v>
      </c>
      <c r="D470" s="0" t="s">
        <v>319</v>
      </c>
      <c r="E470" s="0" t="s">
        <v>410</v>
      </c>
      <c r="F470" s="0" t="s">
        <v>141</v>
      </c>
      <c r="G470" s="0" t="s">
        <v>278</v>
      </c>
      <c r="H470" s="6" t="n">
        <f aca="false">'Import-dataset'!AV12</f>
        <v>4210</v>
      </c>
    </row>
    <row r="471" customFormat="false" ht="15" hidden="false" customHeight="false" outlineLevel="0" collapsed="false">
      <c r="A471" s="0" t="s">
        <v>231</v>
      </c>
      <c r="B471" s="0" t="n">
        <v>2025</v>
      </c>
      <c r="C471" s="0" t="s">
        <v>409</v>
      </c>
      <c r="D471" s="0" t="s">
        <v>319</v>
      </c>
      <c r="E471" s="0" t="s">
        <v>410</v>
      </c>
      <c r="F471" s="0" t="s">
        <v>141</v>
      </c>
      <c r="G471" s="0" t="s">
        <v>278</v>
      </c>
      <c r="H471" s="6" t="n">
        <f aca="false">'Import-dataset'!AV13</f>
        <v>4117</v>
      </c>
    </row>
    <row r="472" customFormat="false" ht="15" hidden="false" customHeight="false" outlineLevel="0" collapsed="false">
      <c r="A472" s="0" t="s">
        <v>231</v>
      </c>
      <c r="B472" s="0" t="n">
        <v>2016</v>
      </c>
      <c r="C472" s="0" t="s">
        <v>411</v>
      </c>
      <c r="D472" s="0" t="s">
        <v>319</v>
      </c>
      <c r="E472" s="0" t="s">
        <v>412</v>
      </c>
      <c r="F472" s="0" t="s">
        <v>141</v>
      </c>
      <c r="G472" s="0" t="s">
        <v>279</v>
      </c>
      <c r="H472" s="6" t="n">
        <f aca="false">'Import-dataset'!AW4</f>
        <v>3577</v>
      </c>
    </row>
    <row r="473" customFormat="false" ht="15" hidden="false" customHeight="false" outlineLevel="0" collapsed="false">
      <c r="A473" s="0" t="s">
        <v>231</v>
      </c>
      <c r="B473" s="0" t="n">
        <v>2017</v>
      </c>
      <c r="C473" s="0" t="s">
        <v>411</v>
      </c>
      <c r="D473" s="0" t="s">
        <v>319</v>
      </c>
      <c r="E473" s="0" t="s">
        <v>412</v>
      </c>
      <c r="F473" s="0" t="s">
        <v>141</v>
      </c>
      <c r="G473" s="0" t="s">
        <v>279</v>
      </c>
      <c r="H473" s="6" t="n">
        <f aca="false">'Import-dataset'!AW5</f>
        <v>3604</v>
      </c>
    </row>
    <row r="474" customFormat="false" ht="15" hidden="false" customHeight="false" outlineLevel="0" collapsed="false">
      <c r="A474" s="0" t="s">
        <v>231</v>
      </c>
      <c r="B474" s="0" t="n">
        <v>2018</v>
      </c>
      <c r="C474" s="0" t="s">
        <v>411</v>
      </c>
      <c r="D474" s="0" t="s">
        <v>319</v>
      </c>
      <c r="E474" s="0" t="s">
        <v>412</v>
      </c>
      <c r="F474" s="0" t="s">
        <v>141</v>
      </c>
      <c r="G474" s="0" t="s">
        <v>279</v>
      </c>
      <c r="H474" s="6" t="n">
        <f aca="false">'Import-dataset'!AW6</f>
        <v>3816</v>
      </c>
    </row>
    <row r="475" customFormat="false" ht="15" hidden="false" customHeight="false" outlineLevel="0" collapsed="false">
      <c r="A475" s="0" t="s">
        <v>231</v>
      </c>
      <c r="B475" s="0" t="n">
        <v>2019</v>
      </c>
      <c r="C475" s="0" t="s">
        <v>411</v>
      </c>
      <c r="D475" s="0" t="s">
        <v>319</v>
      </c>
      <c r="E475" s="0" t="s">
        <v>412</v>
      </c>
      <c r="F475" s="0" t="s">
        <v>141</v>
      </c>
      <c r="G475" s="0" t="s">
        <v>279</v>
      </c>
      <c r="H475" s="6" t="n">
        <f aca="false">'Import-dataset'!AW7</f>
        <v>3834</v>
      </c>
    </row>
    <row r="476" customFormat="false" ht="15" hidden="false" customHeight="false" outlineLevel="0" collapsed="false">
      <c r="A476" s="0" t="s">
        <v>231</v>
      </c>
      <c r="B476" s="0" t="n">
        <v>2020</v>
      </c>
      <c r="C476" s="0" t="s">
        <v>411</v>
      </c>
      <c r="D476" s="0" t="s">
        <v>319</v>
      </c>
      <c r="E476" s="0" t="s">
        <v>412</v>
      </c>
      <c r="F476" s="0" t="s">
        <v>141</v>
      </c>
      <c r="G476" s="0" t="s">
        <v>279</v>
      </c>
      <c r="H476" s="6" t="n">
        <f aca="false">'Import-dataset'!AW8</f>
        <v>5896</v>
      </c>
    </row>
    <row r="477" customFormat="false" ht="15" hidden="false" customHeight="false" outlineLevel="0" collapsed="false">
      <c r="A477" s="0" t="s">
        <v>231</v>
      </c>
      <c r="B477" s="0" t="n">
        <v>2021</v>
      </c>
      <c r="C477" s="0" t="s">
        <v>411</v>
      </c>
      <c r="D477" s="0" t="s">
        <v>319</v>
      </c>
      <c r="E477" s="0" t="s">
        <v>412</v>
      </c>
      <c r="F477" s="0" t="s">
        <v>141</v>
      </c>
      <c r="G477" s="0" t="s">
        <v>279</v>
      </c>
      <c r="H477" s="6" t="n">
        <f aca="false">'Import-dataset'!AW9</f>
        <v>4692</v>
      </c>
    </row>
    <row r="478" customFormat="false" ht="15" hidden="false" customHeight="false" outlineLevel="0" collapsed="false">
      <c r="A478" s="0" t="s">
        <v>231</v>
      </c>
      <c r="B478" s="0" t="n">
        <v>2022</v>
      </c>
      <c r="C478" s="0" t="s">
        <v>411</v>
      </c>
      <c r="D478" s="0" t="s">
        <v>319</v>
      </c>
      <c r="E478" s="0" t="s">
        <v>412</v>
      </c>
      <c r="F478" s="0" t="s">
        <v>141</v>
      </c>
      <c r="G478" s="0" t="s">
        <v>279</v>
      </c>
      <c r="H478" s="6" t="n">
        <f aca="false">'Import-dataset'!AW10</f>
        <v>5323</v>
      </c>
    </row>
    <row r="479" customFormat="false" ht="15" hidden="false" customHeight="false" outlineLevel="0" collapsed="false">
      <c r="A479" s="0" t="s">
        <v>231</v>
      </c>
      <c r="B479" s="0" t="n">
        <v>2023</v>
      </c>
      <c r="C479" s="0" t="s">
        <v>411</v>
      </c>
      <c r="D479" s="0" t="s">
        <v>319</v>
      </c>
      <c r="E479" s="0" t="s">
        <v>412</v>
      </c>
      <c r="F479" s="0" t="s">
        <v>141</v>
      </c>
      <c r="G479" s="0" t="s">
        <v>279</v>
      </c>
      <c r="H479" s="6" t="n">
        <f aca="false">'Import-dataset'!AW11</f>
        <v>4277</v>
      </c>
    </row>
    <row r="480" customFormat="false" ht="15" hidden="false" customHeight="false" outlineLevel="0" collapsed="false">
      <c r="A480" s="0" t="s">
        <v>231</v>
      </c>
      <c r="B480" s="0" t="n">
        <v>2024</v>
      </c>
      <c r="C480" s="0" t="s">
        <v>411</v>
      </c>
      <c r="D480" s="0" t="s">
        <v>319</v>
      </c>
      <c r="E480" s="0" t="s">
        <v>412</v>
      </c>
      <c r="F480" s="0" t="s">
        <v>141</v>
      </c>
      <c r="G480" s="0" t="s">
        <v>279</v>
      </c>
      <c r="H480" s="6" t="n">
        <f aca="false">'Import-dataset'!AW12</f>
        <v>4547</v>
      </c>
    </row>
    <row r="481" customFormat="false" ht="15" hidden="false" customHeight="false" outlineLevel="0" collapsed="false">
      <c r="A481" s="0" t="s">
        <v>231</v>
      </c>
      <c r="B481" s="0" t="n">
        <v>2025</v>
      </c>
      <c r="C481" s="0" t="s">
        <v>411</v>
      </c>
      <c r="D481" s="0" t="s">
        <v>319</v>
      </c>
      <c r="E481" s="0" t="s">
        <v>412</v>
      </c>
      <c r="F481" s="0" t="s">
        <v>141</v>
      </c>
      <c r="G481" s="0" t="s">
        <v>279</v>
      </c>
      <c r="H481" s="6" t="n">
        <f aca="false">'Import-dataset'!AW13</f>
        <v>4729</v>
      </c>
    </row>
    <row r="482" customFormat="false" ht="15" hidden="false" customHeight="false" outlineLevel="0" collapsed="false">
      <c r="A482" s="0" t="s">
        <v>231</v>
      </c>
      <c r="B482" s="0" t="n">
        <v>2016</v>
      </c>
      <c r="C482" s="0" t="s">
        <v>413</v>
      </c>
      <c r="D482" s="0" t="s">
        <v>319</v>
      </c>
      <c r="E482" s="0" t="s">
        <v>414</v>
      </c>
      <c r="F482" s="0" t="s">
        <v>141</v>
      </c>
      <c r="G482" s="0" t="s">
        <v>280</v>
      </c>
      <c r="H482" s="6" t="n">
        <f aca="false">'Import-dataset'!AX4</f>
        <v>3847</v>
      </c>
    </row>
    <row r="483" customFormat="false" ht="15" hidden="false" customHeight="false" outlineLevel="0" collapsed="false">
      <c r="A483" s="0" t="s">
        <v>231</v>
      </c>
      <c r="B483" s="0" t="n">
        <v>2017</v>
      </c>
      <c r="C483" s="0" t="s">
        <v>413</v>
      </c>
      <c r="D483" s="0" t="s">
        <v>319</v>
      </c>
      <c r="E483" s="0" t="s">
        <v>414</v>
      </c>
      <c r="F483" s="0" t="s">
        <v>141</v>
      </c>
      <c r="G483" s="0" t="s">
        <v>280</v>
      </c>
      <c r="H483" s="6" t="n">
        <f aca="false">'Import-dataset'!AX5</f>
        <v>3794</v>
      </c>
    </row>
    <row r="484" customFormat="false" ht="15" hidden="false" customHeight="false" outlineLevel="0" collapsed="false">
      <c r="A484" s="0" t="s">
        <v>231</v>
      </c>
      <c r="B484" s="0" t="n">
        <v>2018</v>
      </c>
      <c r="C484" s="0" t="s">
        <v>413</v>
      </c>
      <c r="D484" s="0" t="s">
        <v>319</v>
      </c>
      <c r="E484" s="0" t="s">
        <v>414</v>
      </c>
      <c r="F484" s="0" t="s">
        <v>141</v>
      </c>
      <c r="G484" s="0" t="s">
        <v>280</v>
      </c>
      <c r="H484" s="6" t="n">
        <f aca="false">'Import-dataset'!AX6</f>
        <v>4038</v>
      </c>
    </row>
    <row r="485" customFormat="false" ht="15" hidden="false" customHeight="false" outlineLevel="0" collapsed="false">
      <c r="A485" s="0" t="s">
        <v>231</v>
      </c>
      <c r="B485" s="0" t="n">
        <v>2019</v>
      </c>
      <c r="C485" s="0" t="s">
        <v>413</v>
      </c>
      <c r="D485" s="0" t="s">
        <v>319</v>
      </c>
      <c r="E485" s="0" t="s">
        <v>414</v>
      </c>
      <c r="F485" s="0" t="s">
        <v>141</v>
      </c>
      <c r="G485" s="0" t="s">
        <v>280</v>
      </c>
      <c r="H485" s="6" t="n">
        <f aca="false">'Import-dataset'!AX7</f>
        <v>4110</v>
      </c>
    </row>
    <row r="486" customFormat="false" ht="15" hidden="false" customHeight="false" outlineLevel="0" collapsed="false">
      <c r="A486" s="0" t="s">
        <v>231</v>
      </c>
      <c r="B486" s="0" t="n">
        <v>2020</v>
      </c>
      <c r="C486" s="0" t="s">
        <v>413</v>
      </c>
      <c r="D486" s="0" t="s">
        <v>319</v>
      </c>
      <c r="E486" s="0" t="s">
        <v>414</v>
      </c>
      <c r="F486" s="0" t="s">
        <v>141</v>
      </c>
      <c r="G486" s="0" t="s">
        <v>280</v>
      </c>
      <c r="H486" s="6" t="n">
        <f aca="false">'Import-dataset'!AX8</f>
        <v>3869</v>
      </c>
    </row>
    <row r="487" customFormat="false" ht="15" hidden="false" customHeight="false" outlineLevel="0" collapsed="false">
      <c r="A487" s="0" t="s">
        <v>231</v>
      </c>
      <c r="B487" s="0" t="n">
        <v>2021</v>
      </c>
      <c r="C487" s="0" t="s">
        <v>413</v>
      </c>
      <c r="D487" s="0" t="s">
        <v>319</v>
      </c>
      <c r="E487" s="0" t="s">
        <v>414</v>
      </c>
      <c r="F487" s="0" t="s">
        <v>141</v>
      </c>
      <c r="G487" s="0" t="s">
        <v>280</v>
      </c>
      <c r="H487" s="6" t="n">
        <f aca="false">'Import-dataset'!AX9</f>
        <v>4281</v>
      </c>
    </row>
    <row r="488" customFormat="false" ht="15" hidden="false" customHeight="false" outlineLevel="0" collapsed="false">
      <c r="A488" s="0" t="s">
        <v>231</v>
      </c>
      <c r="B488" s="0" t="n">
        <v>2022</v>
      </c>
      <c r="C488" s="0" t="s">
        <v>413</v>
      </c>
      <c r="D488" s="0" t="s">
        <v>319</v>
      </c>
      <c r="E488" s="0" t="s">
        <v>414</v>
      </c>
      <c r="F488" s="0" t="s">
        <v>141</v>
      </c>
      <c r="G488" s="0" t="s">
        <v>280</v>
      </c>
      <c r="H488" s="6" t="n">
        <f aca="false">'Import-dataset'!AX10</f>
        <v>4835</v>
      </c>
    </row>
    <row r="489" customFormat="false" ht="15" hidden="false" customHeight="false" outlineLevel="0" collapsed="false">
      <c r="A489" s="0" t="s">
        <v>231</v>
      </c>
      <c r="B489" s="0" t="n">
        <v>2023</v>
      </c>
      <c r="C489" s="0" t="s">
        <v>413</v>
      </c>
      <c r="D489" s="0" t="s">
        <v>319</v>
      </c>
      <c r="E489" s="0" t="s">
        <v>414</v>
      </c>
      <c r="F489" s="0" t="s">
        <v>141</v>
      </c>
      <c r="G489" s="0" t="s">
        <v>280</v>
      </c>
      <c r="H489" s="6" t="n">
        <f aca="false">'Import-dataset'!AX11</f>
        <v>4605</v>
      </c>
    </row>
    <row r="490" customFormat="false" ht="15" hidden="false" customHeight="false" outlineLevel="0" collapsed="false">
      <c r="A490" s="0" t="s">
        <v>231</v>
      </c>
      <c r="B490" s="0" t="n">
        <v>2024</v>
      </c>
      <c r="C490" s="0" t="s">
        <v>413</v>
      </c>
      <c r="D490" s="0" t="s">
        <v>319</v>
      </c>
      <c r="E490" s="0" t="s">
        <v>414</v>
      </c>
      <c r="F490" s="0" t="s">
        <v>141</v>
      </c>
      <c r="G490" s="0" t="s">
        <v>280</v>
      </c>
      <c r="H490" s="6" t="n">
        <f aca="false">'Import-dataset'!AX12</f>
        <v>4461</v>
      </c>
    </row>
    <row r="491" customFormat="false" ht="15" hidden="false" customHeight="false" outlineLevel="0" collapsed="false">
      <c r="A491" s="0" t="s">
        <v>231</v>
      </c>
      <c r="B491" s="0" t="n">
        <v>2025</v>
      </c>
      <c r="C491" s="0" t="s">
        <v>413</v>
      </c>
      <c r="D491" s="0" t="s">
        <v>319</v>
      </c>
      <c r="E491" s="0" t="s">
        <v>414</v>
      </c>
      <c r="F491" s="0" t="s">
        <v>141</v>
      </c>
      <c r="G491" s="0" t="s">
        <v>280</v>
      </c>
      <c r="H491" s="6" t="n">
        <f aca="false">'Import-dataset'!AX13</f>
        <v>4671</v>
      </c>
    </row>
    <row r="492" customFormat="false" ht="15" hidden="false" customHeight="false" outlineLevel="0" collapsed="false">
      <c r="A492" s="0" t="s">
        <v>231</v>
      </c>
      <c r="B492" s="0" t="n">
        <v>2016</v>
      </c>
      <c r="C492" s="0" t="s">
        <v>415</v>
      </c>
      <c r="D492" s="0" t="s">
        <v>319</v>
      </c>
      <c r="E492" s="0" t="s">
        <v>416</v>
      </c>
      <c r="F492" s="0" t="s">
        <v>141</v>
      </c>
      <c r="G492" s="0" t="s">
        <v>281</v>
      </c>
      <c r="H492" s="6" t="n">
        <f aca="false">'Import-dataset'!AY4</f>
        <v>2532</v>
      </c>
    </row>
    <row r="493" customFormat="false" ht="15" hidden="false" customHeight="false" outlineLevel="0" collapsed="false">
      <c r="A493" s="0" t="s">
        <v>231</v>
      </c>
      <c r="B493" s="0" t="n">
        <v>2017</v>
      </c>
      <c r="C493" s="0" t="s">
        <v>415</v>
      </c>
      <c r="D493" s="0" t="s">
        <v>319</v>
      </c>
      <c r="E493" s="0" t="s">
        <v>416</v>
      </c>
      <c r="F493" s="0" t="s">
        <v>141</v>
      </c>
      <c r="G493" s="0" t="s">
        <v>281</v>
      </c>
      <c r="H493" s="6" t="n">
        <f aca="false">'Import-dataset'!AY5</f>
        <v>3059</v>
      </c>
    </row>
    <row r="494" customFormat="false" ht="15" hidden="false" customHeight="false" outlineLevel="0" collapsed="false">
      <c r="A494" s="0" t="s">
        <v>231</v>
      </c>
      <c r="B494" s="0" t="n">
        <v>2018</v>
      </c>
      <c r="C494" s="0" t="s">
        <v>415</v>
      </c>
      <c r="D494" s="0" t="s">
        <v>319</v>
      </c>
      <c r="E494" s="0" t="s">
        <v>416</v>
      </c>
      <c r="F494" s="0" t="s">
        <v>141</v>
      </c>
      <c r="G494" s="0" t="s">
        <v>281</v>
      </c>
      <c r="H494" s="6" t="n">
        <f aca="false">'Import-dataset'!AY6</f>
        <v>3901</v>
      </c>
    </row>
    <row r="495" customFormat="false" ht="15" hidden="false" customHeight="false" outlineLevel="0" collapsed="false">
      <c r="A495" s="0" t="s">
        <v>231</v>
      </c>
      <c r="B495" s="0" t="n">
        <v>2019</v>
      </c>
      <c r="C495" s="0" t="s">
        <v>415</v>
      </c>
      <c r="D495" s="0" t="s">
        <v>319</v>
      </c>
      <c r="E495" s="0" t="s">
        <v>416</v>
      </c>
      <c r="F495" s="0" t="s">
        <v>141</v>
      </c>
      <c r="G495" s="0" t="s">
        <v>281</v>
      </c>
      <c r="H495" s="6" t="n">
        <f aca="false">'Import-dataset'!AY7</f>
        <v>3271</v>
      </c>
    </row>
    <row r="496" customFormat="false" ht="15" hidden="false" customHeight="false" outlineLevel="0" collapsed="false">
      <c r="A496" s="0" t="s">
        <v>231</v>
      </c>
      <c r="B496" s="0" t="n">
        <v>2020</v>
      </c>
      <c r="C496" s="0" t="s">
        <v>415</v>
      </c>
      <c r="D496" s="0" t="s">
        <v>319</v>
      </c>
      <c r="E496" s="0" t="s">
        <v>416</v>
      </c>
      <c r="F496" s="0" t="s">
        <v>141</v>
      </c>
      <c r="G496" s="0" t="s">
        <v>281</v>
      </c>
      <c r="H496" s="6" t="n">
        <f aca="false">'Import-dataset'!AY8</f>
        <v>3134</v>
      </c>
    </row>
    <row r="497" customFormat="false" ht="15" hidden="false" customHeight="false" outlineLevel="0" collapsed="false">
      <c r="A497" s="0" t="s">
        <v>231</v>
      </c>
      <c r="B497" s="0" t="n">
        <v>2021</v>
      </c>
      <c r="C497" s="0" t="s">
        <v>415</v>
      </c>
      <c r="D497" s="0" t="s">
        <v>319</v>
      </c>
      <c r="E497" s="0" t="s">
        <v>416</v>
      </c>
      <c r="F497" s="0" t="s">
        <v>141</v>
      </c>
      <c r="G497" s="0" t="s">
        <v>281</v>
      </c>
      <c r="H497" s="6" t="n">
        <f aca="false">'Import-dataset'!AY9</f>
        <v>4050</v>
      </c>
    </row>
    <row r="498" customFormat="false" ht="15" hidden="false" customHeight="false" outlineLevel="0" collapsed="false">
      <c r="A498" s="0" t="s">
        <v>231</v>
      </c>
      <c r="B498" s="0" t="n">
        <v>2022</v>
      </c>
      <c r="C498" s="0" t="s">
        <v>415</v>
      </c>
      <c r="D498" s="0" t="s">
        <v>319</v>
      </c>
      <c r="E498" s="0" t="s">
        <v>416</v>
      </c>
      <c r="F498" s="0" t="s">
        <v>141</v>
      </c>
      <c r="G498" s="0" t="s">
        <v>281</v>
      </c>
      <c r="H498" s="6" t="n">
        <f aca="false">'Import-dataset'!AY10</f>
        <v>5214</v>
      </c>
    </row>
    <row r="499" customFormat="false" ht="15" hidden="false" customHeight="false" outlineLevel="0" collapsed="false">
      <c r="A499" s="0" t="s">
        <v>231</v>
      </c>
      <c r="B499" s="0" t="n">
        <v>2023</v>
      </c>
      <c r="C499" s="0" t="s">
        <v>415</v>
      </c>
      <c r="D499" s="0" t="s">
        <v>319</v>
      </c>
      <c r="E499" s="0" t="s">
        <v>416</v>
      </c>
      <c r="F499" s="0" t="s">
        <v>141</v>
      </c>
      <c r="G499" s="0" t="s">
        <v>281</v>
      </c>
      <c r="H499" s="6" t="n">
        <f aca="false">'Import-dataset'!AY11</f>
        <v>4746</v>
      </c>
    </row>
    <row r="500" customFormat="false" ht="15" hidden="false" customHeight="false" outlineLevel="0" collapsed="false">
      <c r="A500" s="0" t="s">
        <v>231</v>
      </c>
      <c r="B500" s="0" t="n">
        <v>2024</v>
      </c>
      <c r="C500" s="0" t="s">
        <v>415</v>
      </c>
      <c r="D500" s="0" t="s">
        <v>319</v>
      </c>
      <c r="E500" s="0" t="s">
        <v>416</v>
      </c>
      <c r="F500" s="0" t="s">
        <v>141</v>
      </c>
      <c r="G500" s="0" t="s">
        <v>281</v>
      </c>
      <c r="H500" s="6" t="n">
        <f aca="false">'Import-dataset'!AY12</f>
        <v>5952</v>
      </c>
    </row>
    <row r="501" customFormat="false" ht="15" hidden="false" customHeight="false" outlineLevel="0" collapsed="false">
      <c r="A501" s="0" t="s">
        <v>231</v>
      </c>
      <c r="B501" s="0" t="n">
        <v>2025</v>
      </c>
      <c r="C501" s="0" t="s">
        <v>415</v>
      </c>
      <c r="D501" s="0" t="s">
        <v>319</v>
      </c>
      <c r="E501" s="0" t="s">
        <v>416</v>
      </c>
      <c r="F501" s="0" t="s">
        <v>141</v>
      </c>
      <c r="G501" s="0" t="s">
        <v>281</v>
      </c>
      <c r="H501" s="6" t="n">
        <f aca="false">'Import-dataset'!AY13</f>
        <v>5364</v>
      </c>
    </row>
    <row r="502" customFormat="false" ht="15" hidden="false" customHeight="false" outlineLevel="0" collapsed="false">
      <c r="A502" s="0" t="s">
        <v>231</v>
      </c>
      <c r="B502" s="0" t="n">
        <v>2016</v>
      </c>
      <c r="C502" s="0" t="s">
        <v>417</v>
      </c>
      <c r="D502" s="0" t="s">
        <v>319</v>
      </c>
      <c r="E502" s="0" t="s">
        <v>418</v>
      </c>
      <c r="F502" s="0" t="s">
        <v>141</v>
      </c>
      <c r="G502" s="0" t="s">
        <v>282</v>
      </c>
      <c r="H502" s="6" t="n">
        <f aca="false">'Import-dataset'!AZ4</f>
        <v>2691</v>
      </c>
    </row>
    <row r="503" customFormat="false" ht="15" hidden="false" customHeight="false" outlineLevel="0" collapsed="false">
      <c r="A503" s="0" t="s">
        <v>231</v>
      </c>
      <c r="B503" s="0" t="n">
        <v>2017</v>
      </c>
      <c r="C503" s="0" t="s">
        <v>417</v>
      </c>
      <c r="D503" s="0" t="s">
        <v>319</v>
      </c>
      <c r="E503" s="0" t="s">
        <v>418</v>
      </c>
      <c r="F503" s="0" t="s">
        <v>141</v>
      </c>
      <c r="G503" s="0" t="s">
        <v>282</v>
      </c>
      <c r="H503" s="6" t="n">
        <f aca="false">'Import-dataset'!AZ5</f>
        <v>2479</v>
      </c>
    </row>
    <row r="504" customFormat="false" ht="15" hidden="false" customHeight="false" outlineLevel="0" collapsed="false">
      <c r="A504" s="0" t="s">
        <v>231</v>
      </c>
      <c r="B504" s="0" t="n">
        <v>2018</v>
      </c>
      <c r="C504" s="0" t="s">
        <v>417</v>
      </c>
      <c r="D504" s="0" t="s">
        <v>319</v>
      </c>
      <c r="E504" s="0" t="s">
        <v>418</v>
      </c>
      <c r="F504" s="0" t="s">
        <v>141</v>
      </c>
      <c r="G504" s="0" t="s">
        <v>282</v>
      </c>
      <c r="H504" s="6" t="n">
        <f aca="false">'Import-dataset'!AZ6</f>
        <v>2775</v>
      </c>
    </row>
    <row r="505" customFormat="false" ht="15" hidden="false" customHeight="false" outlineLevel="0" collapsed="false">
      <c r="A505" s="0" t="s">
        <v>231</v>
      </c>
      <c r="B505" s="0" t="n">
        <v>2019</v>
      </c>
      <c r="C505" s="0" t="s">
        <v>417</v>
      </c>
      <c r="D505" s="0" t="s">
        <v>319</v>
      </c>
      <c r="E505" s="0" t="s">
        <v>418</v>
      </c>
      <c r="F505" s="0" t="s">
        <v>141</v>
      </c>
      <c r="G505" s="0" t="s">
        <v>282</v>
      </c>
      <c r="H505" s="6" t="n">
        <f aca="false">'Import-dataset'!AZ7</f>
        <v>2874</v>
      </c>
    </row>
    <row r="506" customFormat="false" ht="15" hidden="false" customHeight="false" outlineLevel="0" collapsed="false">
      <c r="A506" s="0" t="s">
        <v>231</v>
      </c>
      <c r="B506" s="0" t="n">
        <v>2020</v>
      </c>
      <c r="C506" s="0" t="s">
        <v>417</v>
      </c>
      <c r="D506" s="0" t="s">
        <v>319</v>
      </c>
      <c r="E506" s="0" t="s">
        <v>418</v>
      </c>
      <c r="F506" s="0" t="s">
        <v>141</v>
      </c>
      <c r="G506" s="0" t="s">
        <v>282</v>
      </c>
      <c r="H506" s="6" t="n">
        <f aca="false">'Import-dataset'!AZ8</f>
        <v>3596</v>
      </c>
    </row>
    <row r="507" customFormat="false" ht="15" hidden="false" customHeight="false" outlineLevel="0" collapsed="false">
      <c r="A507" s="0" t="s">
        <v>231</v>
      </c>
      <c r="B507" s="0" t="n">
        <v>2021</v>
      </c>
      <c r="C507" s="0" t="s">
        <v>417</v>
      </c>
      <c r="D507" s="0" t="s">
        <v>319</v>
      </c>
      <c r="E507" s="0" t="s">
        <v>418</v>
      </c>
      <c r="F507" s="0" t="s">
        <v>141</v>
      </c>
      <c r="G507" s="0" t="s">
        <v>282</v>
      </c>
      <c r="H507" s="6" t="n">
        <f aca="false">'Import-dataset'!AZ9</f>
        <v>4056</v>
      </c>
    </row>
    <row r="508" customFormat="false" ht="15" hidden="false" customHeight="false" outlineLevel="0" collapsed="false">
      <c r="A508" s="0" t="s">
        <v>231</v>
      </c>
      <c r="B508" s="0" t="n">
        <v>2022</v>
      </c>
      <c r="C508" s="0" t="s">
        <v>417</v>
      </c>
      <c r="D508" s="0" t="s">
        <v>319</v>
      </c>
      <c r="E508" s="0" t="s">
        <v>418</v>
      </c>
      <c r="F508" s="0" t="s">
        <v>141</v>
      </c>
      <c r="G508" s="0" t="s">
        <v>282</v>
      </c>
      <c r="H508" s="6" t="n">
        <f aca="false">'Import-dataset'!AZ10</f>
        <v>5023</v>
      </c>
    </row>
    <row r="509" customFormat="false" ht="15" hidden="false" customHeight="false" outlineLevel="0" collapsed="false">
      <c r="A509" s="0" t="s">
        <v>231</v>
      </c>
      <c r="B509" s="0" t="n">
        <v>2023</v>
      </c>
      <c r="C509" s="0" t="s">
        <v>417</v>
      </c>
      <c r="D509" s="0" t="s">
        <v>319</v>
      </c>
      <c r="E509" s="0" t="s">
        <v>418</v>
      </c>
      <c r="F509" s="0" t="s">
        <v>141</v>
      </c>
      <c r="G509" s="0" t="s">
        <v>282</v>
      </c>
      <c r="H509" s="6" t="n">
        <f aca="false">'Import-dataset'!AZ11</f>
        <v>4174</v>
      </c>
    </row>
    <row r="510" customFormat="false" ht="15" hidden="false" customHeight="false" outlineLevel="0" collapsed="false">
      <c r="A510" s="0" t="s">
        <v>231</v>
      </c>
      <c r="B510" s="0" t="n">
        <v>2024</v>
      </c>
      <c r="C510" s="0" t="s">
        <v>417</v>
      </c>
      <c r="D510" s="0" t="s">
        <v>319</v>
      </c>
      <c r="E510" s="0" t="s">
        <v>418</v>
      </c>
      <c r="F510" s="0" t="s">
        <v>141</v>
      </c>
      <c r="G510" s="0" t="s">
        <v>282</v>
      </c>
      <c r="H510" s="6" t="n">
        <f aca="false">'Import-dataset'!AZ12</f>
        <v>4285</v>
      </c>
    </row>
    <row r="511" customFormat="false" ht="15" hidden="false" customHeight="false" outlineLevel="0" collapsed="false">
      <c r="A511" s="0" t="s">
        <v>231</v>
      </c>
      <c r="B511" s="0" t="n">
        <v>2025</v>
      </c>
      <c r="C511" s="0" t="s">
        <v>417</v>
      </c>
      <c r="D511" s="0" t="s">
        <v>319</v>
      </c>
      <c r="E511" s="0" t="s">
        <v>418</v>
      </c>
      <c r="F511" s="0" t="s">
        <v>141</v>
      </c>
      <c r="G511" s="0" t="s">
        <v>282</v>
      </c>
      <c r="H511" s="6" t="n">
        <f aca="false">'Import-dataset'!AZ13</f>
        <v>5583</v>
      </c>
    </row>
    <row r="512" customFormat="false" ht="15" hidden="false" customHeight="false" outlineLevel="0" collapsed="false">
      <c r="A512" s="0" t="s">
        <v>231</v>
      </c>
      <c r="B512" s="0" t="n">
        <v>2016</v>
      </c>
      <c r="C512" s="0" t="s">
        <v>419</v>
      </c>
      <c r="D512" s="0" t="s">
        <v>319</v>
      </c>
      <c r="E512" s="0" t="s">
        <v>420</v>
      </c>
      <c r="F512" s="0" t="s">
        <v>141</v>
      </c>
      <c r="G512" s="0" t="s">
        <v>283</v>
      </c>
      <c r="H512" s="6" t="n">
        <f aca="false">'Import-dataset'!BA4</f>
        <v>7710</v>
      </c>
    </row>
    <row r="513" customFormat="false" ht="15" hidden="false" customHeight="false" outlineLevel="0" collapsed="false">
      <c r="A513" s="0" t="s">
        <v>231</v>
      </c>
      <c r="B513" s="0" t="n">
        <v>2017</v>
      </c>
      <c r="C513" s="0" t="s">
        <v>419</v>
      </c>
      <c r="D513" s="0" t="s">
        <v>319</v>
      </c>
      <c r="E513" s="0" t="s">
        <v>420</v>
      </c>
      <c r="F513" s="0" t="s">
        <v>141</v>
      </c>
      <c r="G513" s="0" t="s">
        <v>283</v>
      </c>
      <c r="H513" s="6" t="n">
        <f aca="false">'Import-dataset'!BA5</f>
        <v>7685</v>
      </c>
    </row>
    <row r="514" customFormat="false" ht="15" hidden="false" customHeight="false" outlineLevel="0" collapsed="false">
      <c r="A514" s="0" t="s">
        <v>231</v>
      </c>
      <c r="B514" s="0" t="n">
        <v>2018</v>
      </c>
      <c r="C514" s="0" t="s">
        <v>419</v>
      </c>
      <c r="D514" s="0" t="s">
        <v>319</v>
      </c>
      <c r="E514" s="0" t="s">
        <v>420</v>
      </c>
      <c r="F514" s="0" t="s">
        <v>141</v>
      </c>
      <c r="G514" s="0" t="s">
        <v>283</v>
      </c>
      <c r="H514" s="6" t="n">
        <f aca="false">'Import-dataset'!BA6</f>
        <v>9039</v>
      </c>
    </row>
    <row r="515" customFormat="false" ht="15" hidden="false" customHeight="false" outlineLevel="0" collapsed="false">
      <c r="A515" s="0" t="s">
        <v>231</v>
      </c>
      <c r="B515" s="0" t="n">
        <v>2019</v>
      </c>
      <c r="C515" s="0" t="s">
        <v>419</v>
      </c>
      <c r="D515" s="0" t="s">
        <v>319</v>
      </c>
      <c r="E515" s="0" t="s">
        <v>420</v>
      </c>
      <c r="F515" s="0" t="s">
        <v>141</v>
      </c>
      <c r="G515" s="0" t="s">
        <v>283</v>
      </c>
      <c r="H515" s="6" t="n">
        <f aca="false">'Import-dataset'!BA7</f>
        <v>8957</v>
      </c>
    </row>
    <row r="516" customFormat="false" ht="15" hidden="false" customHeight="false" outlineLevel="0" collapsed="false">
      <c r="A516" s="0" t="s">
        <v>231</v>
      </c>
      <c r="B516" s="0" t="n">
        <v>2020</v>
      </c>
      <c r="C516" s="0" t="s">
        <v>419</v>
      </c>
      <c r="D516" s="0" t="s">
        <v>319</v>
      </c>
      <c r="E516" s="0" t="s">
        <v>420</v>
      </c>
      <c r="F516" s="0" t="s">
        <v>141</v>
      </c>
      <c r="G516" s="0" t="s">
        <v>283</v>
      </c>
      <c r="H516" s="6" t="n">
        <f aca="false">'Import-dataset'!BA8</f>
        <v>8988</v>
      </c>
    </row>
    <row r="517" customFormat="false" ht="15" hidden="false" customHeight="false" outlineLevel="0" collapsed="false">
      <c r="A517" s="0" t="s">
        <v>231</v>
      </c>
      <c r="B517" s="0" t="n">
        <v>2021</v>
      </c>
      <c r="C517" s="0" t="s">
        <v>419</v>
      </c>
      <c r="D517" s="0" t="s">
        <v>319</v>
      </c>
      <c r="E517" s="0" t="s">
        <v>420</v>
      </c>
      <c r="F517" s="0" t="s">
        <v>141</v>
      </c>
      <c r="G517" s="0" t="s">
        <v>283</v>
      </c>
      <c r="H517" s="6" t="n">
        <f aca="false">'Import-dataset'!BA9</f>
        <v>10479</v>
      </c>
    </row>
    <row r="518" customFormat="false" ht="15" hidden="false" customHeight="false" outlineLevel="0" collapsed="false">
      <c r="A518" s="0" t="s">
        <v>231</v>
      </c>
      <c r="B518" s="0" t="n">
        <v>2022</v>
      </c>
      <c r="C518" s="0" t="s">
        <v>419</v>
      </c>
      <c r="D518" s="0" t="s">
        <v>319</v>
      </c>
      <c r="E518" s="0" t="s">
        <v>420</v>
      </c>
      <c r="F518" s="0" t="s">
        <v>141</v>
      </c>
      <c r="G518" s="0" t="s">
        <v>283</v>
      </c>
      <c r="H518" s="6" t="n">
        <f aca="false">'Import-dataset'!BA10</f>
        <v>12450</v>
      </c>
    </row>
    <row r="519" customFormat="false" ht="15" hidden="false" customHeight="false" outlineLevel="0" collapsed="false">
      <c r="A519" s="0" t="s">
        <v>231</v>
      </c>
      <c r="B519" s="0" t="n">
        <v>2023</v>
      </c>
      <c r="C519" s="0" t="s">
        <v>419</v>
      </c>
      <c r="D519" s="0" t="s">
        <v>319</v>
      </c>
      <c r="E519" s="0" t="s">
        <v>420</v>
      </c>
      <c r="F519" s="0" t="s">
        <v>141</v>
      </c>
      <c r="G519" s="0" t="s">
        <v>283</v>
      </c>
      <c r="H519" s="6" t="n">
        <f aca="false">'Import-dataset'!BA11</f>
        <v>11917</v>
      </c>
    </row>
    <row r="520" customFormat="false" ht="15" hidden="false" customHeight="false" outlineLevel="0" collapsed="false">
      <c r="A520" s="0" t="s">
        <v>231</v>
      </c>
      <c r="B520" s="0" t="n">
        <v>2024</v>
      </c>
      <c r="C520" s="0" t="s">
        <v>419</v>
      </c>
      <c r="D520" s="0" t="s">
        <v>319</v>
      </c>
      <c r="E520" s="0" t="s">
        <v>420</v>
      </c>
      <c r="F520" s="0" t="s">
        <v>141</v>
      </c>
      <c r="G520" s="0" t="s">
        <v>283</v>
      </c>
      <c r="H520" s="6" t="n">
        <f aca="false">'Import-dataset'!BA12</f>
        <v>12677</v>
      </c>
    </row>
    <row r="521" customFormat="false" ht="15" hidden="false" customHeight="false" outlineLevel="0" collapsed="false">
      <c r="A521" s="0" t="s">
        <v>231</v>
      </c>
      <c r="B521" s="0" t="n">
        <v>2025</v>
      </c>
      <c r="C521" s="0" t="s">
        <v>419</v>
      </c>
      <c r="D521" s="0" t="s">
        <v>319</v>
      </c>
      <c r="E521" s="0" t="s">
        <v>420</v>
      </c>
      <c r="F521" s="0" t="s">
        <v>141</v>
      </c>
      <c r="G521" s="0" t="s">
        <v>283</v>
      </c>
      <c r="H521" s="6" t="n">
        <f aca="false">'Import-dataset'!BA13</f>
        <v>13641</v>
      </c>
    </row>
    <row r="522" customFormat="false" ht="15" hidden="false" customHeight="false" outlineLevel="0" collapsed="false">
      <c r="A522" s="0" t="s">
        <v>231</v>
      </c>
      <c r="B522" s="0" t="n">
        <v>2016</v>
      </c>
      <c r="C522" s="0" t="s">
        <v>421</v>
      </c>
      <c r="D522" s="0" t="s">
        <v>316</v>
      </c>
      <c r="E522" s="0" t="s">
        <v>422</v>
      </c>
      <c r="F522" s="0" t="s">
        <v>141</v>
      </c>
      <c r="G522" s="0" t="s">
        <v>284</v>
      </c>
      <c r="H522" s="6" t="n">
        <f aca="false">'Import-dataset'!BB4</f>
        <v>103332</v>
      </c>
    </row>
    <row r="523" customFormat="false" ht="15" hidden="false" customHeight="false" outlineLevel="0" collapsed="false">
      <c r="A523" s="0" t="s">
        <v>231</v>
      </c>
      <c r="B523" s="0" t="n">
        <v>2017</v>
      </c>
      <c r="C523" s="0" t="s">
        <v>421</v>
      </c>
      <c r="D523" s="0" t="s">
        <v>316</v>
      </c>
      <c r="E523" s="0" t="s">
        <v>422</v>
      </c>
      <c r="F523" s="0" t="s">
        <v>141</v>
      </c>
      <c r="G523" s="0" t="s">
        <v>284</v>
      </c>
      <c r="H523" s="6" t="n">
        <f aca="false">'Import-dataset'!BB5</f>
        <v>117933</v>
      </c>
    </row>
    <row r="524" customFormat="false" ht="15" hidden="false" customHeight="false" outlineLevel="0" collapsed="false">
      <c r="A524" s="0" t="s">
        <v>231</v>
      </c>
      <c r="B524" s="0" t="n">
        <v>2018</v>
      </c>
      <c r="C524" s="0" t="s">
        <v>421</v>
      </c>
      <c r="D524" s="0" t="s">
        <v>316</v>
      </c>
      <c r="E524" s="0" t="s">
        <v>422</v>
      </c>
      <c r="F524" s="0" t="s">
        <v>141</v>
      </c>
      <c r="G524" s="0" t="s">
        <v>284</v>
      </c>
      <c r="H524" s="6" t="n">
        <f aca="false">'Import-dataset'!BB6</f>
        <v>121404</v>
      </c>
    </row>
    <row r="525" customFormat="false" ht="15" hidden="false" customHeight="false" outlineLevel="0" collapsed="false">
      <c r="A525" s="0" t="s">
        <v>231</v>
      </c>
      <c r="B525" s="0" t="n">
        <v>2019</v>
      </c>
      <c r="C525" s="0" t="s">
        <v>421</v>
      </c>
      <c r="D525" s="0" t="s">
        <v>316</v>
      </c>
      <c r="E525" s="0" t="s">
        <v>422</v>
      </c>
      <c r="F525" s="0" t="s">
        <v>141</v>
      </c>
      <c r="G525" s="0" t="s">
        <v>284</v>
      </c>
      <c r="H525" s="6" t="n">
        <f aca="false">'Import-dataset'!BB7</f>
        <v>123286</v>
      </c>
    </row>
    <row r="526" customFormat="false" ht="15" hidden="false" customHeight="false" outlineLevel="0" collapsed="false">
      <c r="A526" s="0" t="s">
        <v>231</v>
      </c>
      <c r="B526" s="0" t="n">
        <v>2020</v>
      </c>
      <c r="C526" s="0" t="s">
        <v>421</v>
      </c>
      <c r="D526" s="0" t="s">
        <v>316</v>
      </c>
      <c r="E526" s="0" t="s">
        <v>422</v>
      </c>
      <c r="F526" s="0" t="s">
        <v>141</v>
      </c>
      <c r="G526" s="0" t="s">
        <v>284</v>
      </c>
      <c r="H526" s="6" t="n">
        <f aca="false">'Import-dataset'!BB8</f>
        <v>119746</v>
      </c>
    </row>
    <row r="527" customFormat="false" ht="15" hidden="false" customHeight="false" outlineLevel="0" collapsed="false">
      <c r="A527" s="0" t="s">
        <v>231</v>
      </c>
      <c r="B527" s="0" t="n">
        <v>2021</v>
      </c>
      <c r="C527" s="0" t="s">
        <v>421</v>
      </c>
      <c r="D527" s="0" t="s">
        <v>316</v>
      </c>
      <c r="E527" s="0" t="s">
        <v>422</v>
      </c>
      <c r="F527" s="0" t="s">
        <v>141</v>
      </c>
      <c r="G527" s="0" t="s">
        <v>284</v>
      </c>
      <c r="H527" s="6" t="n">
        <f aca="false">'Import-dataset'!BB9</f>
        <v>135405</v>
      </c>
    </row>
    <row r="528" customFormat="false" ht="15" hidden="false" customHeight="false" outlineLevel="0" collapsed="false">
      <c r="A528" s="0" t="s">
        <v>231</v>
      </c>
      <c r="B528" s="0" t="n">
        <v>2022</v>
      </c>
      <c r="C528" s="0" t="s">
        <v>421</v>
      </c>
      <c r="D528" s="0" t="s">
        <v>316</v>
      </c>
      <c r="E528" s="0" t="s">
        <v>422</v>
      </c>
      <c r="F528" s="0" t="s">
        <v>141</v>
      </c>
      <c r="G528" s="0" t="s">
        <v>284</v>
      </c>
      <c r="H528" s="6" t="n">
        <f aca="false">'Import-dataset'!BB10</f>
        <v>156900</v>
      </c>
    </row>
    <row r="529" customFormat="false" ht="15" hidden="false" customHeight="false" outlineLevel="0" collapsed="false">
      <c r="A529" s="0" t="s">
        <v>231</v>
      </c>
      <c r="B529" s="0" t="n">
        <v>2023</v>
      </c>
      <c r="C529" s="0" t="s">
        <v>421</v>
      </c>
      <c r="D529" s="0" t="s">
        <v>316</v>
      </c>
      <c r="E529" s="0" t="s">
        <v>422</v>
      </c>
      <c r="F529" s="0" t="s">
        <v>141</v>
      </c>
      <c r="G529" s="0" t="s">
        <v>284</v>
      </c>
      <c r="H529" s="6" t="n">
        <f aca="false">'Import-dataset'!BB11</f>
        <v>173355</v>
      </c>
    </row>
    <row r="530" customFormat="false" ht="15" hidden="false" customHeight="false" outlineLevel="0" collapsed="false">
      <c r="A530" s="0" t="s">
        <v>231</v>
      </c>
      <c r="B530" s="0" t="n">
        <v>2024</v>
      </c>
      <c r="C530" s="0" t="s">
        <v>421</v>
      </c>
      <c r="D530" s="0" t="s">
        <v>316</v>
      </c>
      <c r="E530" s="0" t="s">
        <v>422</v>
      </c>
      <c r="F530" s="0" t="s">
        <v>141</v>
      </c>
      <c r="G530" s="0" t="s">
        <v>284</v>
      </c>
      <c r="H530" s="6" t="n">
        <f aca="false">'Import-dataset'!BB12</f>
        <v>180686</v>
      </c>
    </row>
    <row r="531" customFormat="false" ht="15" hidden="false" customHeight="false" outlineLevel="0" collapsed="false">
      <c r="A531" s="0" t="s">
        <v>231</v>
      </c>
      <c r="B531" s="0" t="n">
        <v>2025</v>
      </c>
      <c r="C531" s="0" t="s">
        <v>421</v>
      </c>
      <c r="D531" s="0" t="s">
        <v>316</v>
      </c>
      <c r="E531" s="0" t="s">
        <v>422</v>
      </c>
      <c r="F531" s="0" t="s">
        <v>141</v>
      </c>
      <c r="G531" s="0" t="s">
        <v>284</v>
      </c>
      <c r="H531" s="6" t="n">
        <f aca="false">'Import-dataset'!BB13</f>
        <v>190956</v>
      </c>
    </row>
    <row r="532" customFormat="false" ht="15" hidden="false" customHeight="false" outlineLevel="0" collapsed="false">
      <c r="A532" s="0" t="s">
        <v>231</v>
      </c>
      <c r="B532" s="0" t="n">
        <v>2016</v>
      </c>
      <c r="C532" s="0" t="s">
        <v>423</v>
      </c>
      <c r="D532" s="0" t="s">
        <v>319</v>
      </c>
      <c r="E532" s="0" t="s">
        <v>424</v>
      </c>
      <c r="F532" s="0" t="s">
        <v>141</v>
      </c>
      <c r="G532" s="0" t="s">
        <v>285</v>
      </c>
      <c r="H532" s="6" t="n">
        <f aca="false">'Import-dataset'!BC4</f>
        <v>4429</v>
      </c>
    </row>
    <row r="533" customFormat="false" ht="15" hidden="false" customHeight="false" outlineLevel="0" collapsed="false">
      <c r="A533" s="0" t="s">
        <v>231</v>
      </c>
      <c r="B533" s="0" t="n">
        <v>2017</v>
      </c>
      <c r="C533" s="0" t="s">
        <v>423</v>
      </c>
      <c r="D533" s="0" t="s">
        <v>319</v>
      </c>
      <c r="E533" s="0" t="s">
        <v>424</v>
      </c>
      <c r="F533" s="0" t="s">
        <v>141</v>
      </c>
      <c r="G533" s="0" t="s">
        <v>285</v>
      </c>
      <c r="H533" s="6" t="n">
        <f aca="false">'Import-dataset'!BC5</f>
        <v>4763</v>
      </c>
    </row>
    <row r="534" customFormat="false" ht="15" hidden="false" customHeight="false" outlineLevel="0" collapsed="false">
      <c r="A534" s="0" t="s">
        <v>231</v>
      </c>
      <c r="B534" s="0" t="n">
        <v>2018</v>
      </c>
      <c r="C534" s="0" t="s">
        <v>423</v>
      </c>
      <c r="D534" s="0" t="s">
        <v>319</v>
      </c>
      <c r="E534" s="0" t="s">
        <v>424</v>
      </c>
      <c r="F534" s="0" t="s">
        <v>141</v>
      </c>
      <c r="G534" s="0" t="s">
        <v>285</v>
      </c>
      <c r="H534" s="6" t="n">
        <f aca="false">'Import-dataset'!BC6</f>
        <v>5936</v>
      </c>
    </row>
    <row r="535" customFormat="false" ht="15" hidden="false" customHeight="false" outlineLevel="0" collapsed="false">
      <c r="A535" s="0" t="s">
        <v>231</v>
      </c>
      <c r="B535" s="0" t="n">
        <v>2019</v>
      </c>
      <c r="C535" s="0" t="s">
        <v>423</v>
      </c>
      <c r="D535" s="0" t="s">
        <v>319</v>
      </c>
      <c r="E535" s="0" t="s">
        <v>424</v>
      </c>
      <c r="F535" s="0" t="s">
        <v>141</v>
      </c>
      <c r="G535" s="0" t="s">
        <v>285</v>
      </c>
      <c r="H535" s="6" t="n">
        <f aca="false">'Import-dataset'!BC7</f>
        <v>6310</v>
      </c>
    </row>
    <row r="536" customFormat="false" ht="15" hidden="false" customHeight="false" outlineLevel="0" collapsed="false">
      <c r="A536" s="0" t="s">
        <v>231</v>
      </c>
      <c r="B536" s="0" t="n">
        <v>2020</v>
      </c>
      <c r="C536" s="0" t="s">
        <v>423</v>
      </c>
      <c r="D536" s="0" t="s">
        <v>319</v>
      </c>
      <c r="E536" s="0" t="s">
        <v>424</v>
      </c>
      <c r="F536" s="0" t="s">
        <v>141</v>
      </c>
      <c r="G536" s="0" t="s">
        <v>285</v>
      </c>
      <c r="H536" s="6" t="n">
        <f aca="false">'Import-dataset'!BC8</f>
        <v>5691</v>
      </c>
    </row>
    <row r="537" customFormat="false" ht="15" hidden="false" customHeight="false" outlineLevel="0" collapsed="false">
      <c r="A537" s="0" t="s">
        <v>231</v>
      </c>
      <c r="B537" s="0" t="n">
        <v>2021</v>
      </c>
      <c r="C537" s="0" t="s">
        <v>423</v>
      </c>
      <c r="D537" s="0" t="s">
        <v>319</v>
      </c>
      <c r="E537" s="0" t="s">
        <v>424</v>
      </c>
      <c r="F537" s="0" t="s">
        <v>141</v>
      </c>
      <c r="G537" s="0" t="s">
        <v>285</v>
      </c>
      <c r="H537" s="6" t="n">
        <f aca="false">'Import-dataset'!BC9</f>
        <v>5352</v>
      </c>
    </row>
    <row r="538" customFormat="false" ht="15" hidden="false" customHeight="false" outlineLevel="0" collapsed="false">
      <c r="A538" s="0" t="s">
        <v>231</v>
      </c>
      <c r="B538" s="0" t="n">
        <v>2022</v>
      </c>
      <c r="C538" s="0" t="s">
        <v>423</v>
      </c>
      <c r="D538" s="0" t="s">
        <v>319</v>
      </c>
      <c r="E538" s="0" t="s">
        <v>424</v>
      </c>
      <c r="F538" s="0" t="s">
        <v>141</v>
      </c>
      <c r="G538" s="0" t="s">
        <v>285</v>
      </c>
      <c r="H538" s="6" t="n">
        <f aca="false">'Import-dataset'!BC10</f>
        <v>6250</v>
      </c>
    </row>
    <row r="539" customFormat="false" ht="15" hidden="false" customHeight="false" outlineLevel="0" collapsed="false">
      <c r="A539" s="0" t="s">
        <v>231</v>
      </c>
      <c r="B539" s="0" t="n">
        <v>2023</v>
      </c>
      <c r="C539" s="0" t="s">
        <v>423</v>
      </c>
      <c r="D539" s="0" t="s">
        <v>319</v>
      </c>
      <c r="E539" s="0" t="s">
        <v>424</v>
      </c>
      <c r="F539" s="0" t="s">
        <v>141</v>
      </c>
      <c r="G539" s="0" t="s">
        <v>285</v>
      </c>
      <c r="H539" s="6" t="n">
        <f aca="false">'Import-dataset'!BC11</f>
        <v>7368</v>
      </c>
    </row>
    <row r="540" customFormat="false" ht="15" hidden="false" customHeight="false" outlineLevel="0" collapsed="false">
      <c r="A540" s="0" t="s">
        <v>231</v>
      </c>
      <c r="B540" s="0" t="n">
        <v>2024</v>
      </c>
      <c r="C540" s="0" t="s">
        <v>423</v>
      </c>
      <c r="D540" s="0" t="s">
        <v>319</v>
      </c>
      <c r="E540" s="0" t="s">
        <v>424</v>
      </c>
      <c r="F540" s="0" t="s">
        <v>141</v>
      </c>
      <c r="G540" s="0" t="s">
        <v>285</v>
      </c>
      <c r="H540" s="6" t="n">
        <f aca="false">'Import-dataset'!BC12</f>
        <v>7929</v>
      </c>
    </row>
    <row r="541" customFormat="false" ht="15" hidden="false" customHeight="false" outlineLevel="0" collapsed="false">
      <c r="A541" s="0" t="s">
        <v>231</v>
      </c>
      <c r="B541" s="0" t="n">
        <v>2025</v>
      </c>
      <c r="C541" s="0" t="s">
        <v>423</v>
      </c>
      <c r="D541" s="0" t="s">
        <v>319</v>
      </c>
      <c r="E541" s="0" t="s">
        <v>424</v>
      </c>
      <c r="F541" s="0" t="s">
        <v>141</v>
      </c>
      <c r="G541" s="0" t="s">
        <v>285</v>
      </c>
      <c r="H541" s="6" t="n">
        <f aca="false">'Import-dataset'!BC13</f>
        <v>8883</v>
      </c>
    </row>
    <row r="542" customFormat="false" ht="15" hidden="false" customHeight="false" outlineLevel="0" collapsed="false">
      <c r="A542" s="0" t="s">
        <v>231</v>
      </c>
      <c r="B542" s="0" t="n">
        <v>2016</v>
      </c>
      <c r="C542" s="0" t="s">
        <v>425</v>
      </c>
      <c r="D542" s="0" t="s">
        <v>319</v>
      </c>
      <c r="E542" s="0" t="s">
        <v>426</v>
      </c>
      <c r="F542" s="0" t="s">
        <v>141</v>
      </c>
      <c r="G542" s="0" t="s">
        <v>286</v>
      </c>
      <c r="H542" s="6" t="n">
        <f aca="false">'Import-dataset'!BD4</f>
        <v>7665</v>
      </c>
    </row>
    <row r="543" customFormat="false" ht="15" hidden="false" customHeight="false" outlineLevel="0" collapsed="false">
      <c r="A543" s="0" t="s">
        <v>231</v>
      </c>
      <c r="B543" s="0" t="n">
        <v>2017</v>
      </c>
      <c r="C543" s="0" t="s">
        <v>425</v>
      </c>
      <c r="D543" s="0" t="s">
        <v>319</v>
      </c>
      <c r="E543" s="0" t="s">
        <v>426</v>
      </c>
      <c r="F543" s="0" t="s">
        <v>141</v>
      </c>
      <c r="G543" s="0" t="s">
        <v>286</v>
      </c>
      <c r="H543" s="6" t="n">
        <f aca="false">'Import-dataset'!BD5</f>
        <v>8870</v>
      </c>
    </row>
    <row r="544" customFormat="false" ht="15" hidden="false" customHeight="false" outlineLevel="0" collapsed="false">
      <c r="A544" s="0" t="s">
        <v>231</v>
      </c>
      <c r="B544" s="0" t="n">
        <v>2018</v>
      </c>
      <c r="C544" s="0" t="s">
        <v>425</v>
      </c>
      <c r="D544" s="0" t="s">
        <v>319</v>
      </c>
      <c r="E544" s="0" t="s">
        <v>426</v>
      </c>
      <c r="F544" s="0" t="s">
        <v>141</v>
      </c>
      <c r="G544" s="0" t="s">
        <v>286</v>
      </c>
      <c r="H544" s="6" t="n">
        <f aca="false">'Import-dataset'!BD6</f>
        <v>10484</v>
      </c>
    </row>
    <row r="545" customFormat="false" ht="15" hidden="false" customHeight="false" outlineLevel="0" collapsed="false">
      <c r="A545" s="0" t="s">
        <v>231</v>
      </c>
      <c r="B545" s="0" t="n">
        <v>2019</v>
      </c>
      <c r="C545" s="0" t="s">
        <v>425</v>
      </c>
      <c r="D545" s="0" t="s">
        <v>319</v>
      </c>
      <c r="E545" s="0" t="s">
        <v>426</v>
      </c>
      <c r="F545" s="0" t="s">
        <v>141</v>
      </c>
      <c r="G545" s="0" t="s">
        <v>286</v>
      </c>
      <c r="H545" s="6" t="n">
        <f aca="false">'Import-dataset'!BD7</f>
        <v>10688</v>
      </c>
    </row>
    <row r="546" customFormat="false" ht="15" hidden="false" customHeight="false" outlineLevel="0" collapsed="false">
      <c r="A546" s="0" t="s">
        <v>231</v>
      </c>
      <c r="B546" s="0" t="n">
        <v>2020</v>
      </c>
      <c r="C546" s="0" t="s">
        <v>425</v>
      </c>
      <c r="D546" s="0" t="s">
        <v>319</v>
      </c>
      <c r="E546" s="0" t="s">
        <v>426</v>
      </c>
      <c r="F546" s="0" t="s">
        <v>141</v>
      </c>
      <c r="G546" s="0" t="s">
        <v>286</v>
      </c>
      <c r="H546" s="6" t="n">
        <f aca="false">'Import-dataset'!BD8</f>
        <v>10600</v>
      </c>
    </row>
    <row r="547" customFormat="false" ht="15" hidden="false" customHeight="false" outlineLevel="0" collapsed="false">
      <c r="A547" s="0" t="s">
        <v>231</v>
      </c>
      <c r="B547" s="0" t="n">
        <v>2021</v>
      </c>
      <c r="C547" s="0" t="s">
        <v>425</v>
      </c>
      <c r="D547" s="0" t="s">
        <v>319</v>
      </c>
      <c r="E547" s="0" t="s">
        <v>426</v>
      </c>
      <c r="F547" s="0" t="s">
        <v>141</v>
      </c>
      <c r="G547" s="0" t="s">
        <v>286</v>
      </c>
      <c r="H547" s="6" t="n">
        <f aca="false">'Import-dataset'!BD9</f>
        <v>12971</v>
      </c>
    </row>
    <row r="548" customFormat="false" ht="15" hidden="false" customHeight="false" outlineLevel="0" collapsed="false">
      <c r="A548" s="0" t="s">
        <v>231</v>
      </c>
      <c r="B548" s="0" t="n">
        <v>2022</v>
      </c>
      <c r="C548" s="0" t="s">
        <v>425</v>
      </c>
      <c r="D548" s="0" t="s">
        <v>319</v>
      </c>
      <c r="E548" s="0" t="s">
        <v>426</v>
      </c>
      <c r="F548" s="0" t="s">
        <v>141</v>
      </c>
      <c r="G548" s="0" t="s">
        <v>286</v>
      </c>
      <c r="H548" s="6" t="n">
        <f aca="false">'Import-dataset'!BD10</f>
        <v>15810</v>
      </c>
    </row>
    <row r="549" customFormat="false" ht="15" hidden="false" customHeight="false" outlineLevel="0" collapsed="false">
      <c r="A549" s="0" t="s">
        <v>231</v>
      </c>
      <c r="B549" s="0" t="n">
        <v>2023</v>
      </c>
      <c r="C549" s="0" t="s">
        <v>425</v>
      </c>
      <c r="D549" s="0" t="s">
        <v>319</v>
      </c>
      <c r="E549" s="0" t="s">
        <v>426</v>
      </c>
      <c r="F549" s="0" t="s">
        <v>141</v>
      </c>
      <c r="G549" s="0" t="s">
        <v>286</v>
      </c>
      <c r="H549" s="6" t="n">
        <f aca="false">'Import-dataset'!BD11</f>
        <v>18321</v>
      </c>
    </row>
    <row r="550" customFormat="false" ht="15" hidden="false" customHeight="false" outlineLevel="0" collapsed="false">
      <c r="A550" s="0" t="s">
        <v>231</v>
      </c>
      <c r="B550" s="0" t="n">
        <v>2024</v>
      </c>
      <c r="C550" s="0" t="s">
        <v>425</v>
      </c>
      <c r="D550" s="0" t="s">
        <v>319</v>
      </c>
      <c r="E550" s="0" t="s">
        <v>426</v>
      </c>
      <c r="F550" s="0" t="s">
        <v>141</v>
      </c>
      <c r="G550" s="0" t="s">
        <v>286</v>
      </c>
      <c r="H550" s="6" t="n">
        <f aca="false">'Import-dataset'!BD12</f>
        <v>15321</v>
      </c>
    </row>
    <row r="551" customFormat="false" ht="15" hidden="false" customHeight="false" outlineLevel="0" collapsed="false">
      <c r="A551" s="0" t="s">
        <v>231</v>
      </c>
      <c r="B551" s="0" t="n">
        <v>2025</v>
      </c>
      <c r="C551" s="0" t="s">
        <v>425</v>
      </c>
      <c r="D551" s="0" t="s">
        <v>319</v>
      </c>
      <c r="E551" s="0" t="s">
        <v>426</v>
      </c>
      <c r="F551" s="0" t="s">
        <v>141</v>
      </c>
      <c r="G551" s="0" t="s">
        <v>286</v>
      </c>
      <c r="H551" s="6" t="n">
        <f aca="false">'Import-dataset'!BD13</f>
        <v>14643</v>
      </c>
    </row>
    <row r="552" customFormat="false" ht="15" hidden="false" customHeight="false" outlineLevel="0" collapsed="false">
      <c r="A552" s="0" t="s">
        <v>231</v>
      </c>
      <c r="B552" s="0" t="n">
        <v>2016</v>
      </c>
      <c r="C552" s="0" t="s">
        <v>427</v>
      </c>
      <c r="D552" s="0" t="s">
        <v>319</v>
      </c>
      <c r="E552" s="0" t="s">
        <v>428</v>
      </c>
      <c r="F552" s="0" t="s">
        <v>141</v>
      </c>
      <c r="G552" s="0" t="s">
        <v>287</v>
      </c>
      <c r="H552" s="6" t="n">
        <f aca="false">'Import-dataset'!BE4</f>
        <v>595</v>
      </c>
    </row>
    <row r="553" customFormat="false" ht="15" hidden="false" customHeight="false" outlineLevel="0" collapsed="false">
      <c r="A553" s="0" t="s">
        <v>231</v>
      </c>
      <c r="B553" s="0" t="n">
        <v>2017</v>
      </c>
      <c r="C553" s="0" t="s">
        <v>427</v>
      </c>
      <c r="D553" s="0" t="s">
        <v>319</v>
      </c>
      <c r="E553" s="0" t="s">
        <v>428</v>
      </c>
      <c r="F553" s="0" t="s">
        <v>141</v>
      </c>
      <c r="G553" s="0" t="s">
        <v>287</v>
      </c>
      <c r="H553" s="6" t="n">
        <f aca="false">'Import-dataset'!BE5</f>
        <v>639</v>
      </c>
    </row>
    <row r="554" customFormat="false" ht="15" hidden="false" customHeight="false" outlineLevel="0" collapsed="false">
      <c r="A554" s="0" t="s">
        <v>231</v>
      </c>
      <c r="B554" s="0" t="n">
        <v>2018</v>
      </c>
      <c r="C554" s="0" t="s">
        <v>427</v>
      </c>
      <c r="D554" s="0" t="s">
        <v>319</v>
      </c>
      <c r="E554" s="0" t="s">
        <v>428</v>
      </c>
      <c r="F554" s="0" t="s">
        <v>141</v>
      </c>
      <c r="G554" s="0" t="s">
        <v>287</v>
      </c>
      <c r="H554" s="6" t="n">
        <f aca="false">'Import-dataset'!BE6</f>
        <v>751</v>
      </c>
    </row>
    <row r="555" customFormat="false" ht="15" hidden="false" customHeight="false" outlineLevel="0" collapsed="false">
      <c r="A555" s="0" t="s">
        <v>231</v>
      </c>
      <c r="B555" s="0" t="n">
        <v>2019</v>
      </c>
      <c r="C555" s="0" t="s">
        <v>427</v>
      </c>
      <c r="D555" s="0" t="s">
        <v>319</v>
      </c>
      <c r="E555" s="0" t="s">
        <v>428</v>
      </c>
      <c r="F555" s="0" t="s">
        <v>141</v>
      </c>
      <c r="G555" s="0" t="s">
        <v>287</v>
      </c>
      <c r="H555" s="6" t="n">
        <f aca="false">'Import-dataset'!BE7</f>
        <v>864</v>
      </c>
    </row>
    <row r="556" customFormat="false" ht="15" hidden="false" customHeight="false" outlineLevel="0" collapsed="false">
      <c r="A556" s="0" t="s">
        <v>231</v>
      </c>
      <c r="B556" s="0" t="n">
        <v>2020</v>
      </c>
      <c r="C556" s="0" t="s">
        <v>427</v>
      </c>
      <c r="D556" s="0" t="s">
        <v>319</v>
      </c>
      <c r="E556" s="0" t="s">
        <v>428</v>
      </c>
      <c r="F556" s="0" t="s">
        <v>141</v>
      </c>
      <c r="G556" s="0" t="s">
        <v>287</v>
      </c>
      <c r="H556" s="6" t="n">
        <f aca="false">'Import-dataset'!BE8</f>
        <v>751</v>
      </c>
    </row>
    <row r="557" customFormat="false" ht="15" hidden="false" customHeight="false" outlineLevel="0" collapsed="false">
      <c r="A557" s="0" t="s">
        <v>231</v>
      </c>
      <c r="B557" s="0" t="n">
        <v>2021</v>
      </c>
      <c r="C557" s="0" t="s">
        <v>427</v>
      </c>
      <c r="D557" s="0" t="s">
        <v>319</v>
      </c>
      <c r="E557" s="0" t="s">
        <v>428</v>
      </c>
      <c r="F557" s="0" t="s">
        <v>141</v>
      </c>
      <c r="G557" s="0" t="s">
        <v>287</v>
      </c>
      <c r="H557" s="6" t="n">
        <f aca="false">'Import-dataset'!BE9</f>
        <v>971</v>
      </c>
    </row>
    <row r="558" customFormat="false" ht="15" hidden="false" customHeight="false" outlineLevel="0" collapsed="false">
      <c r="A558" s="0" t="s">
        <v>231</v>
      </c>
      <c r="B558" s="0" t="n">
        <v>2022</v>
      </c>
      <c r="C558" s="0" t="s">
        <v>427</v>
      </c>
      <c r="D558" s="0" t="s">
        <v>319</v>
      </c>
      <c r="E558" s="0" t="s">
        <v>428</v>
      </c>
      <c r="F558" s="0" t="s">
        <v>141</v>
      </c>
      <c r="G558" s="0" t="s">
        <v>287</v>
      </c>
      <c r="H558" s="6" t="n">
        <f aca="false">'Import-dataset'!BE10</f>
        <v>1095</v>
      </c>
    </row>
    <row r="559" customFormat="false" ht="15" hidden="false" customHeight="false" outlineLevel="0" collapsed="false">
      <c r="A559" s="0" t="s">
        <v>231</v>
      </c>
      <c r="B559" s="0" t="n">
        <v>2023</v>
      </c>
      <c r="C559" s="0" t="s">
        <v>427</v>
      </c>
      <c r="D559" s="0" t="s">
        <v>319</v>
      </c>
      <c r="E559" s="0" t="s">
        <v>428</v>
      </c>
      <c r="F559" s="0" t="s">
        <v>141</v>
      </c>
      <c r="G559" s="0" t="s">
        <v>287</v>
      </c>
      <c r="H559" s="6" t="n">
        <f aca="false">'Import-dataset'!BE11</f>
        <v>1171</v>
      </c>
    </row>
    <row r="560" customFormat="false" ht="15" hidden="false" customHeight="false" outlineLevel="0" collapsed="false">
      <c r="A560" s="0" t="s">
        <v>231</v>
      </c>
      <c r="B560" s="0" t="n">
        <v>2024</v>
      </c>
      <c r="C560" s="0" t="s">
        <v>427</v>
      </c>
      <c r="D560" s="0" t="s">
        <v>319</v>
      </c>
      <c r="E560" s="0" t="s">
        <v>428</v>
      </c>
      <c r="F560" s="0" t="s">
        <v>141</v>
      </c>
      <c r="G560" s="0" t="s">
        <v>287</v>
      </c>
      <c r="H560" s="6" t="n">
        <f aca="false">'Import-dataset'!BE12</f>
        <v>1101</v>
      </c>
    </row>
    <row r="561" customFormat="false" ht="15" hidden="false" customHeight="false" outlineLevel="0" collapsed="false">
      <c r="A561" s="0" t="s">
        <v>231</v>
      </c>
      <c r="B561" s="0" t="n">
        <v>2025</v>
      </c>
      <c r="C561" s="0" t="s">
        <v>427</v>
      </c>
      <c r="D561" s="0" t="s">
        <v>319</v>
      </c>
      <c r="E561" s="0" t="s">
        <v>428</v>
      </c>
      <c r="F561" s="0" t="s">
        <v>141</v>
      </c>
      <c r="G561" s="0" t="s">
        <v>287</v>
      </c>
      <c r="H561" s="6" t="n">
        <f aca="false">'Import-dataset'!BE13</f>
        <v>1058</v>
      </c>
    </row>
    <row r="562" customFormat="false" ht="15" hidden="false" customHeight="false" outlineLevel="0" collapsed="false">
      <c r="A562" s="0" t="s">
        <v>231</v>
      </c>
      <c r="B562" s="0" t="n">
        <v>2016</v>
      </c>
      <c r="C562" s="0" t="s">
        <v>429</v>
      </c>
      <c r="D562" s="0" t="s">
        <v>319</v>
      </c>
      <c r="E562" s="0" t="s">
        <v>430</v>
      </c>
      <c r="F562" s="0" t="s">
        <v>141</v>
      </c>
      <c r="G562" s="0" t="s">
        <v>288</v>
      </c>
      <c r="H562" s="6" t="n">
        <f aca="false">'Import-dataset'!BF4</f>
        <v>14478</v>
      </c>
    </row>
    <row r="563" customFormat="false" ht="15" hidden="false" customHeight="false" outlineLevel="0" collapsed="false">
      <c r="A563" s="0" t="s">
        <v>231</v>
      </c>
      <c r="B563" s="0" t="n">
        <v>2017</v>
      </c>
      <c r="C563" s="0" t="s">
        <v>429</v>
      </c>
      <c r="D563" s="0" t="s">
        <v>319</v>
      </c>
      <c r="E563" s="0" t="s">
        <v>430</v>
      </c>
      <c r="F563" s="0" t="s">
        <v>141</v>
      </c>
      <c r="G563" s="0" t="s">
        <v>288</v>
      </c>
      <c r="H563" s="6" t="n">
        <f aca="false">'Import-dataset'!BF5</f>
        <v>13380</v>
      </c>
    </row>
    <row r="564" customFormat="false" ht="15" hidden="false" customHeight="false" outlineLevel="0" collapsed="false">
      <c r="A564" s="0" t="s">
        <v>231</v>
      </c>
      <c r="B564" s="0" t="n">
        <v>2018</v>
      </c>
      <c r="C564" s="0" t="s">
        <v>429</v>
      </c>
      <c r="D564" s="0" t="s">
        <v>319</v>
      </c>
      <c r="E564" s="0" t="s">
        <v>430</v>
      </c>
      <c r="F564" s="0" t="s">
        <v>141</v>
      </c>
      <c r="G564" s="0" t="s">
        <v>288</v>
      </c>
      <c r="H564" s="6" t="n">
        <f aca="false">'Import-dataset'!BF6</f>
        <v>14952</v>
      </c>
    </row>
    <row r="565" customFormat="false" ht="15" hidden="false" customHeight="false" outlineLevel="0" collapsed="false">
      <c r="A565" s="0" t="s">
        <v>231</v>
      </c>
      <c r="B565" s="0" t="n">
        <v>2019</v>
      </c>
      <c r="C565" s="0" t="s">
        <v>429</v>
      </c>
      <c r="D565" s="0" t="s">
        <v>319</v>
      </c>
      <c r="E565" s="0" t="s">
        <v>430</v>
      </c>
      <c r="F565" s="0" t="s">
        <v>141</v>
      </c>
      <c r="G565" s="0" t="s">
        <v>288</v>
      </c>
      <c r="H565" s="6" t="n">
        <f aca="false">'Import-dataset'!BF7</f>
        <v>15646</v>
      </c>
    </row>
    <row r="566" customFormat="false" ht="15" hidden="false" customHeight="false" outlineLevel="0" collapsed="false">
      <c r="A566" s="0" t="s">
        <v>231</v>
      </c>
      <c r="B566" s="0" t="n">
        <v>2020</v>
      </c>
      <c r="C566" s="0" t="s">
        <v>429</v>
      </c>
      <c r="D566" s="0" t="s">
        <v>319</v>
      </c>
      <c r="E566" s="0" t="s">
        <v>430</v>
      </c>
      <c r="F566" s="0" t="s">
        <v>141</v>
      </c>
      <c r="G566" s="0" t="s">
        <v>288</v>
      </c>
      <c r="H566" s="6" t="n">
        <f aca="false">'Import-dataset'!BF8</f>
        <v>15673</v>
      </c>
    </row>
    <row r="567" customFormat="false" ht="15" hidden="false" customHeight="false" outlineLevel="0" collapsed="false">
      <c r="A567" s="0" t="s">
        <v>231</v>
      </c>
      <c r="B567" s="0" t="n">
        <v>2021</v>
      </c>
      <c r="C567" s="0" t="s">
        <v>429</v>
      </c>
      <c r="D567" s="0" t="s">
        <v>319</v>
      </c>
      <c r="E567" s="0" t="s">
        <v>430</v>
      </c>
      <c r="F567" s="0" t="s">
        <v>141</v>
      </c>
      <c r="G567" s="0" t="s">
        <v>288</v>
      </c>
      <c r="H567" s="6" t="n">
        <f aca="false">'Import-dataset'!BF9</f>
        <v>16935</v>
      </c>
    </row>
    <row r="568" customFormat="false" ht="15" hidden="false" customHeight="false" outlineLevel="0" collapsed="false">
      <c r="A568" s="0" t="s">
        <v>231</v>
      </c>
      <c r="B568" s="0" t="n">
        <v>2022</v>
      </c>
      <c r="C568" s="0" t="s">
        <v>429</v>
      </c>
      <c r="D568" s="0" t="s">
        <v>319</v>
      </c>
      <c r="E568" s="0" t="s">
        <v>430</v>
      </c>
      <c r="F568" s="0" t="s">
        <v>141</v>
      </c>
      <c r="G568" s="0" t="s">
        <v>288</v>
      </c>
      <c r="H568" s="6" t="n">
        <f aca="false">'Import-dataset'!BF10</f>
        <v>19875</v>
      </c>
    </row>
    <row r="569" customFormat="false" ht="15" hidden="false" customHeight="false" outlineLevel="0" collapsed="false">
      <c r="A569" s="0" t="s">
        <v>231</v>
      </c>
      <c r="B569" s="0" t="n">
        <v>2023</v>
      </c>
      <c r="C569" s="0" t="s">
        <v>429</v>
      </c>
      <c r="D569" s="0" t="s">
        <v>319</v>
      </c>
      <c r="E569" s="0" t="s">
        <v>430</v>
      </c>
      <c r="F569" s="0" t="s">
        <v>141</v>
      </c>
      <c r="G569" s="0" t="s">
        <v>288</v>
      </c>
      <c r="H569" s="6" t="n">
        <f aca="false">'Import-dataset'!BF11</f>
        <v>20852</v>
      </c>
    </row>
    <row r="570" customFormat="false" ht="15" hidden="false" customHeight="false" outlineLevel="0" collapsed="false">
      <c r="A570" s="0" t="s">
        <v>231</v>
      </c>
      <c r="B570" s="0" t="n">
        <v>2024</v>
      </c>
      <c r="C570" s="0" t="s">
        <v>429</v>
      </c>
      <c r="D570" s="0" t="s">
        <v>319</v>
      </c>
      <c r="E570" s="0" t="s">
        <v>430</v>
      </c>
      <c r="F570" s="0" t="s">
        <v>141</v>
      </c>
      <c r="G570" s="0" t="s">
        <v>288</v>
      </c>
      <c r="H570" s="6" t="n">
        <f aca="false">'Import-dataset'!BF12</f>
        <v>23737</v>
      </c>
    </row>
    <row r="571" customFormat="false" ht="15" hidden="false" customHeight="false" outlineLevel="0" collapsed="false">
      <c r="A571" s="0" t="s">
        <v>231</v>
      </c>
      <c r="B571" s="0" t="n">
        <v>2025</v>
      </c>
      <c r="C571" s="0" t="s">
        <v>429</v>
      </c>
      <c r="D571" s="0" t="s">
        <v>319</v>
      </c>
      <c r="E571" s="0" t="s">
        <v>430</v>
      </c>
      <c r="F571" s="0" t="s">
        <v>141</v>
      </c>
      <c r="G571" s="0" t="s">
        <v>288</v>
      </c>
      <c r="H571" s="6" t="n">
        <f aca="false">'Import-dataset'!BF13</f>
        <v>23637</v>
      </c>
    </row>
    <row r="572" customFormat="false" ht="15" hidden="false" customHeight="false" outlineLevel="0" collapsed="false">
      <c r="A572" s="0" t="s">
        <v>231</v>
      </c>
      <c r="B572" s="0" t="n">
        <v>2016</v>
      </c>
      <c r="C572" s="0" t="s">
        <v>431</v>
      </c>
      <c r="D572" s="0" t="s">
        <v>319</v>
      </c>
      <c r="E572" s="0" t="s">
        <v>432</v>
      </c>
      <c r="F572" s="0" t="s">
        <v>141</v>
      </c>
      <c r="G572" s="0" t="s">
        <v>289</v>
      </c>
      <c r="H572" s="6" t="n">
        <f aca="false">'Import-dataset'!BG4</f>
        <v>9773</v>
      </c>
    </row>
    <row r="573" customFormat="false" ht="15" hidden="false" customHeight="false" outlineLevel="0" collapsed="false">
      <c r="A573" s="0" t="s">
        <v>231</v>
      </c>
      <c r="B573" s="0" t="n">
        <v>2017</v>
      </c>
      <c r="C573" s="0" t="s">
        <v>431</v>
      </c>
      <c r="D573" s="0" t="s">
        <v>319</v>
      </c>
      <c r="E573" s="0" t="s">
        <v>432</v>
      </c>
      <c r="F573" s="0" t="s">
        <v>141</v>
      </c>
      <c r="G573" s="0" t="s">
        <v>289</v>
      </c>
      <c r="H573" s="6" t="n">
        <f aca="false">'Import-dataset'!BG5</f>
        <v>10489</v>
      </c>
    </row>
    <row r="574" customFormat="false" ht="15" hidden="false" customHeight="false" outlineLevel="0" collapsed="false">
      <c r="A574" s="0" t="s">
        <v>231</v>
      </c>
      <c r="B574" s="0" t="n">
        <v>2018</v>
      </c>
      <c r="C574" s="0" t="s">
        <v>431</v>
      </c>
      <c r="D574" s="0" t="s">
        <v>319</v>
      </c>
      <c r="E574" s="0" t="s">
        <v>432</v>
      </c>
      <c r="F574" s="0" t="s">
        <v>141</v>
      </c>
      <c r="G574" s="0" t="s">
        <v>289</v>
      </c>
      <c r="H574" s="6" t="n">
        <f aca="false">'Import-dataset'!BG6</f>
        <v>11907</v>
      </c>
    </row>
    <row r="575" customFormat="false" ht="15" hidden="false" customHeight="false" outlineLevel="0" collapsed="false">
      <c r="A575" s="0" t="s">
        <v>231</v>
      </c>
      <c r="B575" s="0" t="n">
        <v>2019</v>
      </c>
      <c r="C575" s="0" t="s">
        <v>431</v>
      </c>
      <c r="D575" s="0" t="s">
        <v>319</v>
      </c>
      <c r="E575" s="0" t="s">
        <v>432</v>
      </c>
      <c r="F575" s="0" t="s">
        <v>141</v>
      </c>
      <c r="G575" s="0" t="s">
        <v>289</v>
      </c>
      <c r="H575" s="6" t="n">
        <f aca="false">'Import-dataset'!BG7</f>
        <v>11737</v>
      </c>
    </row>
    <row r="576" customFormat="false" ht="15" hidden="false" customHeight="false" outlineLevel="0" collapsed="false">
      <c r="A576" s="0" t="s">
        <v>231</v>
      </c>
      <c r="B576" s="0" t="n">
        <v>2020</v>
      </c>
      <c r="C576" s="0" t="s">
        <v>431</v>
      </c>
      <c r="D576" s="0" t="s">
        <v>319</v>
      </c>
      <c r="E576" s="0" t="s">
        <v>432</v>
      </c>
      <c r="F576" s="0" t="s">
        <v>141</v>
      </c>
      <c r="G576" s="0" t="s">
        <v>289</v>
      </c>
      <c r="H576" s="6" t="n">
        <f aca="false">'Import-dataset'!BG8</f>
        <v>12455</v>
      </c>
    </row>
    <row r="577" customFormat="false" ht="15" hidden="false" customHeight="false" outlineLevel="0" collapsed="false">
      <c r="A577" s="0" t="s">
        <v>231</v>
      </c>
      <c r="B577" s="0" t="n">
        <v>2021</v>
      </c>
      <c r="C577" s="0" t="s">
        <v>431</v>
      </c>
      <c r="D577" s="0" t="s">
        <v>319</v>
      </c>
      <c r="E577" s="0" t="s">
        <v>432</v>
      </c>
      <c r="F577" s="0" t="s">
        <v>141</v>
      </c>
      <c r="G577" s="0" t="s">
        <v>289</v>
      </c>
      <c r="H577" s="6" t="n">
        <f aca="false">'Import-dataset'!BG9</f>
        <v>13204</v>
      </c>
    </row>
    <row r="578" customFormat="false" ht="15" hidden="false" customHeight="false" outlineLevel="0" collapsed="false">
      <c r="A578" s="0" t="s">
        <v>231</v>
      </c>
      <c r="B578" s="0" t="n">
        <v>2022</v>
      </c>
      <c r="C578" s="0" t="s">
        <v>431</v>
      </c>
      <c r="D578" s="0" t="s">
        <v>319</v>
      </c>
      <c r="E578" s="0" t="s">
        <v>432</v>
      </c>
      <c r="F578" s="0" t="s">
        <v>141</v>
      </c>
      <c r="G578" s="0" t="s">
        <v>289</v>
      </c>
      <c r="H578" s="6" t="n">
        <f aca="false">'Import-dataset'!BG10</f>
        <v>14727</v>
      </c>
    </row>
    <row r="579" customFormat="false" ht="15" hidden="false" customHeight="false" outlineLevel="0" collapsed="false">
      <c r="A579" s="0" t="s">
        <v>231</v>
      </c>
      <c r="B579" s="0" t="n">
        <v>2023</v>
      </c>
      <c r="C579" s="0" t="s">
        <v>431</v>
      </c>
      <c r="D579" s="0" t="s">
        <v>319</v>
      </c>
      <c r="E579" s="0" t="s">
        <v>432</v>
      </c>
      <c r="F579" s="0" t="s">
        <v>141</v>
      </c>
      <c r="G579" s="0" t="s">
        <v>289</v>
      </c>
      <c r="H579" s="6" t="n">
        <f aca="false">'Import-dataset'!BG11</f>
        <v>12531</v>
      </c>
    </row>
    <row r="580" customFormat="false" ht="15" hidden="false" customHeight="false" outlineLevel="0" collapsed="false">
      <c r="A580" s="0" t="s">
        <v>231</v>
      </c>
      <c r="B580" s="0" t="n">
        <v>2024</v>
      </c>
      <c r="C580" s="0" t="s">
        <v>431</v>
      </c>
      <c r="D580" s="0" t="s">
        <v>319</v>
      </c>
      <c r="E580" s="0" t="s">
        <v>432</v>
      </c>
      <c r="F580" s="0" t="s">
        <v>141</v>
      </c>
      <c r="G580" s="0" t="s">
        <v>289</v>
      </c>
      <c r="H580" s="6" t="n">
        <f aca="false">'Import-dataset'!BG12</f>
        <v>14902</v>
      </c>
    </row>
    <row r="581" customFormat="false" ht="15" hidden="false" customHeight="false" outlineLevel="0" collapsed="false">
      <c r="A581" s="0" t="s">
        <v>231</v>
      </c>
      <c r="B581" s="0" t="n">
        <v>2025</v>
      </c>
      <c r="C581" s="0" t="s">
        <v>431</v>
      </c>
      <c r="D581" s="0" t="s">
        <v>319</v>
      </c>
      <c r="E581" s="0" t="s">
        <v>432</v>
      </c>
      <c r="F581" s="0" t="s">
        <v>141</v>
      </c>
      <c r="G581" s="0" t="s">
        <v>289</v>
      </c>
      <c r="H581" s="6" t="n">
        <f aca="false">'Import-dataset'!BG13</f>
        <v>19183</v>
      </c>
    </row>
    <row r="582" customFormat="false" ht="15" hidden="false" customHeight="false" outlineLevel="0" collapsed="false">
      <c r="A582" s="0" t="s">
        <v>231</v>
      </c>
      <c r="B582" s="0" t="n">
        <v>2016</v>
      </c>
      <c r="C582" s="0" t="s">
        <v>433</v>
      </c>
      <c r="D582" s="0" t="s">
        <v>319</v>
      </c>
      <c r="E582" s="0" t="s">
        <v>434</v>
      </c>
      <c r="F582" s="0" t="s">
        <v>141</v>
      </c>
      <c r="G582" s="0" t="s">
        <v>290</v>
      </c>
      <c r="H582" s="6" t="n">
        <f aca="false">'Import-dataset'!BH4</f>
        <v>14598</v>
      </c>
    </row>
    <row r="583" customFormat="false" ht="15" hidden="false" customHeight="false" outlineLevel="0" collapsed="false">
      <c r="A583" s="0" t="s">
        <v>231</v>
      </c>
      <c r="B583" s="0" t="n">
        <v>2017</v>
      </c>
      <c r="C583" s="0" t="s">
        <v>433</v>
      </c>
      <c r="D583" s="0" t="s">
        <v>319</v>
      </c>
      <c r="E583" s="0" t="s">
        <v>434</v>
      </c>
      <c r="F583" s="0" t="s">
        <v>141</v>
      </c>
      <c r="G583" s="0" t="s">
        <v>290</v>
      </c>
      <c r="H583" s="6" t="n">
        <f aca="false">'Import-dataset'!BH5</f>
        <v>15584</v>
      </c>
    </row>
    <row r="584" customFormat="false" ht="15" hidden="false" customHeight="false" outlineLevel="0" collapsed="false">
      <c r="A584" s="0" t="s">
        <v>231</v>
      </c>
      <c r="B584" s="0" t="n">
        <v>2018</v>
      </c>
      <c r="C584" s="0" t="s">
        <v>433</v>
      </c>
      <c r="D584" s="0" t="s">
        <v>319</v>
      </c>
      <c r="E584" s="0" t="s">
        <v>434</v>
      </c>
      <c r="F584" s="0" t="s">
        <v>141</v>
      </c>
      <c r="G584" s="0" t="s">
        <v>290</v>
      </c>
      <c r="H584" s="6" t="n">
        <f aca="false">'Import-dataset'!BH6</f>
        <v>17166</v>
      </c>
    </row>
    <row r="585" customFormat="false" ht="15" hidden="false" customHeight="false" outlineLevel="0" collapsed="false">
      <c r="A585" s="0" t="s">
        <v>231</v>
      </c>
      <c r="B585" s="0" t="n">
        <v>2019</v>
      </c>
      <c r="C585" s="0" t="s">
        <v>433</v>
      </c>
      <c r="D585" s="0" t="s">
        <v>319</v>
      </c>
      <c r="E585" s="0" t="s">
        <v>434</v>
      </c>
      <c r="F585" s="0" t="s">
        <v>141</v>
      </c>
      <c r="G585" s="0" t="s">
        <v>290</v>
      </c>
      <c r="H585" s="6" t="n">
        <f aca="false">'Import-dataset'!BH7</f>
        <v>17648</v>
      </c>
    </row>
    <row r="586" customFormat="false" ht="15" hidden="false" customHeight="false" outlineLevel="0" collapsed="false">
      <c r="A586" s="0" t="s">
        <v>231</v>
      </c>
      <c r="B586" s="0" t="n">
        <v>2020</v>
      </c>
      <c r="C586" s="0" t="s">
        <v>433</v>
      </c>
      <c r="D586" s="0" t="s">
        <v>319</v>
      </c>
      <c r="E586" s="0" t="s">
        <v>434</v>
      </c>
      <c r="F586" s="0" t="s">
        <v>141</v>
      </c>
      <c r="G586" s="0" t="s">
        <v>290</v>
      </c>
      <c r="H586" s="6" t="n">
        <f aca="false">'Import-dataset'!BH8</f>
        <v>17588</v>
      </c>
    </row>
    <row r="587" customFormat="false" ht="15" hidden="false" customHeight="false" outlineLevel="0" collapsed="false">
      <c r="A587" s="0" t="s">
        <v>231</v>
      </c>
      <c r="B587" s="0" t="n">
        <v>2021</v>
      </c>
      <c r="C587" s="0" t="s">
        <v>433</v>
      </c>
      <c r="D587" s="0" t="s">
        <v>319</v>
      </c>
      <c r="E587" s="0" t="s">
        <v>434</v>
      </c>
      <c r="F587" s="0" t="s">
        <v>141</v>
      </c>
      <c r="G587" s="0" t="s">
        <v>290</v>
      </c>
      <c r="H587" s="6" t="n">
        <f aca="false">'Import-dataset'!BH9</f>
        <v>17682</v>
      </c>
    </row>
    <row r="588" customFormat="false" ht="15" hidden="false" customHeight="false" outlineLevel="0" collapsed="false">
      <c r="A588" s="0" t="s">
        <v>231</v>
      </c>
      <c r="B588" s="0" t="n">
        <v>2022</v>
      </c>
      <c r="C588" s="0" t="s">
        <v>433</v>
      </c>
      <c r="D588" s="0" t="s">
        <v>319</v>
      </c>
      <c r="E588" s="0" t="s">
        <v>434</v>
      </c>
      <c r="F588" s="0" t="s">
        <v>141</v>
      </c>
      <c r="G588" s="0" t="s">
        <v>290</v>
      </c>
      <c r="H588" s="6" t="n">
        <f aca="false">'Import-dataset'!BH10</f>
        <v>20341</v>
      </c>
    </row>
    <row r="589" customFormat="false" ht="15" hidden="false" customHeight="false" outlineLevel="0" collapsed="false">
      <c r="A589" s="0" t="s">
        <v>231</v>
      </c>
      <c r="B589" s="0" t="n">
        <v>2023</v>
      </c>
      <c r="C589" s="0" t="s">
        <v>433</v>
      </c>
      <c r="D589" s="0" t="s">
        <v>319</v>
      </c>
      <c r="E589" s="0" t="s">
        <v>434</v>
      </c>
      <c r="F589" s="0" t="s">
        <v>141</v>
      </c>
      <c r="G589" s="0" t="s">
        <v>290</v>
      </c>
      <c r="H589" s="6" t="n">
        <f aca="false">'Import-dataset'!BH11</f>
        <v>20204</v>
      </c>
    </row>
    <row r="590" customFormat="false" ht="15" hidden="false" customHeight="false" outlineLevel="0" collapsed="false">
      <c r="A590" s="0" t="s">
        <v>231</v>
      </c>
      <c r="B590" s="0" t="n">
        <v>2024</v>
      </c>
      <c r="C590" s="0" t="s">
        <v>433</v>
      </c>
      <c r="D590" s="0" t="s">
        <v>319</v>
      </c>
      <c r="E590" s="0" t="s">
        <v>434</v>
      </c>
      <c r="F590" s="0" t="s">
        <v>141</v>
      </c>
      <c r="G590" s="0" t="s">
        <v>290</v>
      </c>
      <c r="H590" s="6" t="n">
        <f aca="false">'Import-dataset'!BH12</f>
        <v>20144</v>
      </c>
    </row>
    <row r="591" customFormat="false" ht="15" hidden="false" customHeight="false" outlineLevel="0" collapsed="false">
      <c r="A591" s="0" t="s">
        <v>231</v>
      </c>
      <c r="B591" s="0" t="n">
        <v>2025</v>
      </c>
      <c r="C591" s="0" t="s">
        <v>433</v>
      </c>
      <c r="D591" s="0" t="s">
        <v>319</v>
      </c>
      <c r="E591" s="0" t="s">
        <v>434</v>
      </c>
      <c r="F591" s="0" t="s">
        <v>141</v>
      </c>
      <c r="G591" s="0" t="s">
        <v>290</v>
      </c>
      <c r="H591" s="6" t="n">
        <f aca="false">'Import-dataset'!BH13</f>
        <v>21727</v>
      </c>
    </row>
    <row r="592" customFormat="false" ht="15" hidden="false" customHeight="false" outlineLevel="0" collapsed="false">
      <c r="A592" s="0" t="s">
        <v>231</v>
      </c>
      <c r="B592" s="0" t="n">
        <v>2016</v>
      </c>
      <c r="C592" s="0" t="s">
        <v>435</v>
      </c>
      <c r="D592" s="0" t="s">
        <v>319</v>
      </c>
      <c r="E592" s="0" t="s">
        <v>436</v>
      </c>
      <c r="F592" s="0" t="s">
        <v>141</v>
      </c>
      <c r="G592" s="0" t="s">
        <v>291</v>
      </c>
      <c r="H592" s="6" t="n">
        <f aca="false">'Import-dataset'!BI4</f>
        <v>13089</v>
      </c>
    </row>
    <row r="593" customFormat="false" ht="15" hidden="false" customHeight="false" outlineLevel="0" collapsed="false">
      <c r="A593" s="0" t="s">
        <v>231</v>
      </c>
      <c r="B593" s="0" t="n">
        <v>2017</v>
      </c>
      <c r="C593" s="0" t="s">
        <v>435</v>
      </c>
      <c r="D593" s="0" t="s">
        <v>319</v>
      </c>
      <c r="E593" s="0" t="s">
        <v>436</v>
      </c>
      <c r="F593" s="0" t="s">
        <v>141</v>
      </c>
      <c r="G593" s="0" t="s">
        <v>291</v>
      </c>
      <c r="H593" s="6" t="n">
        <f aca="false">'Import-dataset'!BI5</f>
        <v>14637</v>
      </c>
    </row>
    <row r="594" customFormat="false" ht="15" hidden="false" customHeight="false" outlineLevel="0" collapsed="false">
      <c r="A594" s="0" t="s">
        <v>231</v>
      </c>
      <c r="B594" s="0" t="n">
        <v>2018</v>
      </c>
      <c r="C594" s="0" t="s">
        <v>435</v>
      </c>
      <c r="D594" s="0" t="s">
        <v>319</v>
      </c>
      <c r="E594" s="0" t="s">
        <v>436</v>
      </c>
      <c r="F594" s="0" t="s">
        <v>141</v>
      </c>
      <c r="G594" s="0" t="s">
        <v>291</v>
      </c>
      <c r="H594" s="6" t="n">
        <f aca="false">'Import-dataset'!BI6</f>
        <v>16823</v>
      </c>
    </row>
    <row r="595" customFormat="false" ht="15" hidden="false" customHeight="false" outlineLevel="0" collapsed="false">
      <c r="A595" s="0" t="s">
        <v>231</v>
      </c>
      <c r="B595" s="0" t="n">
        <v>2019</v>
      </c>
      <c r="C595" s="0" t="s">
        <v>435</v>
      </c>
      <c r="D595" s="0" t="s">
        <v>319</v>
      </c>
      <c r="E595" s="0" t="s">
        <v>436</v>
      </c>
      <c r="F595" s="0" t="s">
        <v>141</v>
      </c>
      <c r="G595" s="0" t="s">
        <v>291</v>
      </c>
      <c r="H595" s="6" t="n">
        <f aca="false">'Import-dataset'!BI7</f>
        <v>17451</v>
      </c>
    </row>
    <row r="596" customFormat="false" ht="15" hidden="false" customHeight="false" outlineLevel="0" collapsed="false">
      <c r="A596" s="0" t="s">
        <v>231</v>
      </c>
      <c r="B596" s="0" t="n">
        <v>2020</v>
      </c>
      <c r="C596" s="0" t="s">
        <v>435</v>
      </c>
      <c r="D596" s="0" t="s">
        <v>319</v>
      </c>
      <c r="E596" s="0" t="s">
        <v>436</v>
      </c>
      <c r="F596" s="0" t="s">
        <v>141</v>
      </c>
      <c r="G596" s="0" t="s">
        <v>291</v>
      </c>
      <c r="H596" s="6" t="n">
        <f aca="false">'Import-dataset'!BI8</f>
        <v>17885</v>
      </c>
    </row>
    <row r="597" customFormat="false" ht="15" hidden="false" customHeight="false" outlineLevel="0" collapsed="false">
      <c r="A597" s="0" t="s">
        <v>231</v>
      </c>
      <c r="B597" s="0" t="n">
        <v>2021</v>
      </c>
      <c r="C597" s="0" t="s">
        <v>435</v>
      </c>
      <c r="D597" s="0" t="s">
        <v>319</v>
      </c>
      <c r="E597" s="0" t="s">
        <v>436</v>
      </c>
      <c r="F597" s="0" t="s">
        <v>141</v>
      </c>
      <c r="G597" s="0" t="s">
        <v>291</v>
      </c>
      <c r="H597" s="6" t="n">
        <f aca="false">'Import-dataset'!BI9</f>
        <v>19654</v>
      </c>
    </row>
    <row r="598" customFormat="false" ht="15" hidden="false" customHeight="false" outlineLevel="0" collapsed="false">
      <c r="A598" s="0" t="s">
        <v>231</v>
      </c>
      <c r="B598" s="0" t="n">
        <v>2022</v>
      </c>
      <c r="C598" s="0" t="s">
        <v>435</v>
      </c>
      <c r="D598" s="0" t="s">
        <v>319</v>
      </c>
      <c r="E598" s="0" t="s">
        <v>436</v>
      </c>
      <c r="F598" s="0" t="s">
        <v>141</v>
      </c>
      <c r="G598" s="0" t="s">
        <v>291</v>
      </c>
      <c r="H598" s="6" t="n">
        <f aca="false">'Import-dataset'!BI10</f>
        <v>23299</v>
      </c>
    </row>
    <row r="599" customFormat="false" ht="15" hidden="false" customHeight="false" outlineLevel="0" collapsed="false">
      <c r="A599" s="0" t="s">
        <v>231</v>
      </c>
      <c r="B599" s="0" t="n">
        <v>2023</v>
      </c>
      <c r="C599" s="0" t="s">
        <v>435</v>
      </c>
      <c r="D599" s="0" t="s">
        <v>319</v>
      </c>
      <c r="E599" s="0" t="s">
        <v>436</v>
      </c>
      <c r="F599" s="0" t="s">
        <v>141</v>
      </c>
      <c r="G599" s="0" t="s">
        <v>291</v>
      </c>
      <c r="H599" s="6" t="n">
        <f aca="false">'Import-dataset'!BI11</f>
        <v>23989</v>
      </c>
    </row>
    <row r="600" customFormat="false" ht="15" hidden="false" customHeight="false" outlineLevel="0" collapsed="false">
      <c r="A600" s="0" t="s">
        <v>231</v>
      </c>
      <c r="B600" s="0" t="n">
        <v>2024</v>
      </c>
      <c r="C600" s="0" t="s">
        <v>435</v>
      </c>
      <c r="D600" s="0" t="s">
        <v>319</v>
      </c>
      <c r="E600" s="0" t="s">
        <v>436</v>
      </c>
      <c r="F600" s="0" t="s">
        <v>141</v>
      </c>
      <c r="G600" s="0" t="s">
        <v>291</v>
      </c>
      <c r="H600" s="6" t="n">
        <f aca="false">'Import-dataset'!BI12</f>
        <v>28336</v>
      </c>
    </row>
    <row r="601" customFormat="false" ht="15" hidden="false" customHeight="false" outlineLevel="0" collapsed="false">
      <c r="A601" s="0" t="s">
        <v>231</v>
      </c>
      <c r="B601" s="0" t="n">
        <v>2025</v>
      </c>
      <c r="C601" s="0" t="s">
        <v>435</v>
      </c>
      <c r="D601" s="0" t="s">
        <v>319</v>
      </c>
      <c r="E601" s="0" t="s">
        <v>436</v>
      </c>
      <c r="F601" s="0" t="s">
        <v>141</v>
      </c>
      <c r="G601" s="0" t="s">
        <v>291</v>
      </c>
      <c r="H601" s="6" t="n">
        <f aca="false">'Import-dataset'!BI13</f>
        <v>32803</v>
      </c>
    </row>
    <row r="602" customFormat="false" ht="15" hidden="false" customHeight="false" outlineLevel="0" collapsed="false">
      <c r="A602" s="0" t="s">
        <v>231</v>
      </c>
      <c r="B602" s="0" t="n">
        <v>2016</v>
      </c>
      <c r="C602" s="0" t="s">
        <v>437</v>
      </c>
      <c r="D602" s="0" t="s">
        <v>319</v>
      </c>
      <c r="E602" s="0" t="s">
        <v>438</v>
      </c>
      <c r="F602" s="0" t="s">
        <v>141</v>
      </c>
      <c r="G602" s="0" t="s">
        <v>292</v>
      </c>
      <c r="H602" s="6" t="n">
        <f aca="false">'Import-dataset'!BJ4</f>
        <v>34412</v>
      </c>
    </row>
    <row r="603" customFormat="false" ht="15" hidden="false" customHeight="false" outlineLevel="0" collapsed="false">
      <c r="A603" s="0" t="s">
        <v>231</v>
      </c>
      <c r="B603" s="0" t="n">
        <v>2017</v>
      </c>
      <c r="C603" s="0" t="s">
        <v>437</v>
      </c>
      <c r="D603" s="0" t="s">
        <v>319</v>
      </c>
      <c r="E603" s="0" t="s">
        <v>438</v>
      </c>
      <c r="F603" s="0" t="s">
        <v>141</v>
      </c>
      <c r="G603" s="0" t="s">
        <v>292</v>
      </c>
      <c r="H603" s="6" t="n">
        <f aca="false">'Import-dataset'!BJ5</f>
        <v>37308</v>
      </c>
    </row>
    <row r="604" customFormat="false" ht="15" hidden="false" customHeight="false" outlineLevel="0" collapsed="false">
      <c r="A604" s="0" t="s">
        <v>231</v>
      </c>
      <c r="B604" s="0" t="n">
        <v>2018</v>
      </c>
      <c r="C604" s="0" t="s">
        <v>437</v>
      </c>
      <c r="D604" s="0" t="s">
        <v>319</v>
      </c>
      <c r="E604" s="0" t="s">
        <v>438</v>
      </c>
      <c r="F604" s="0" t="s">
        <v>141</v>
      </c>
      <c r="G604" s="0" t="s">
        <v>292</v>
      </c>
      <c r="H604" s="6" t="n">
        <f aca="false">'Import-dataset'!BJ6</f>
        <v>39091</v>
      </c>
    </row>
    <row r="605" customFormat="false" ht="15" hidden="false" customHeight="false" outlineLevel="0" collapsed="false">
      <c r="A605" s="0" t="s">
        <v>231</v>
      </c>
      <c r="B605" s="0" t="n">
        <v>2019</v>
      </c>
      <c r="C605" s="0" t="s">
        <v>437</v>
      </c>
      <c r="D605" s="0" t="s">
        <v>319</v>
      </c>
      <c r="E605" s="0" t="s">
        <v>438</v>
      </c>
      <c r="F605" s="0" t="s">
        <v>141</v>
      </c>
      <c r="G605" s="0" t="s">
        <v>292</v>
      </c>
      <c r="H605" s="6" t="n">
        <f aca="false">'Import-dataset'!BJ7</f>
        <v>37286</v>
      </c>
    </row>
    <row r="606" customFormat="false" ht="15" hidden="false" customHeight="false" outlineLevel="0" collapsed="false">
      <c r="A606" s="0" t="s">
        <v>231</v>
      </c>
      <c r="B606" s="0" t="n">
        <v>2020</v>
      </c>
      <c r="C606" s="0" t="s">
        <v>437</v>
      </c>
      <c r="D606" s="0" t="s">
        <v>319</v>
      </c>
      <c r="E606" s="0" t="s">
        <v>438</v>
      </c>
      <c r="F606" s="0" t="s">
        <v>141</v>
      </c>
      <c r="G606" s="0" t="s">
        <v>292</v>
      </c>
      <c r="H606" s="6" t="n">
        <f aca="false">'Import-dataset'!BJ8</f>
        <v>33502</v>
      </c>
    </row>
    <row r="607" customFormat="false" ht="15" hidden="false" customHeight="false" outlineLevel="0" collapsed="false">
      <c r="A607" s="0" t="s">
        <v>231</v>
      </c>
      <c r="B607" s="0" t="n">
        <v>2021</v>
      </c>
      <c r="C607" s="0" t="s">
        <v>437</v>
      </c>
      <c r="D607" s="0" t="s">
        <v>319</v>
      </c>
      <c r="E607" s="0" t="s">
        <v>438</v>
      </c>
      <c r="F607" s="0" t="s">
        <v>141</v>
      </c>
      <c r="G607" s="0" t="s">
        <v>292</v>
      </c>
      <c r="H607" s="6" t="n">
        <f aca="false">'Import-dataset'!BJ9</f>
        <v>42876</v>
      </c>
    </row>
    <row r="608" customFormat="false" ht="15" hidden="false" customHeight="false" outlineLevel="0" collapsed="false">
      <c r="A608" s="0" t="s">
        <v>231</v>
      </c>
      <c r="B608" s="0" t="n">
        <v>2022</v>
      </c>
      <c r="C608" s="0" t="s">
        <v>437</v>
      </c>
      <c r="D608" s="0" t="s">
        <v>319</v>
      </c>
      <c r="E608" s="0" t="s">
        <v>438</v>
      </c>
      <c r="F608" s="0" t="s">
        <v>141</v>
      </c>
      <c r="G608" s="0" t="s">
        <v>292</v>
      </c>
      <c r="H608" s="6" t="n">
        <f aca="false">'Import-dataset'!BJ10</f>
        <v>50050</v>
      </c>
    </row>
    <row r="609" customFormat="false" ht="15" hidden="false" customHeight="false" outlineLevel="0" collapsed="false">
      <c r="A609" s="0" t="s">
        <v>231</v>
      </c>
      <c r="B609" s="0" t="n">
        <v>2023</v>
      </c>
      <c r="C609" s="0" t="s">
        <v>437</v>
      </c>
      <c r="D609" s="0" t="s">
        <v>319</v>
      </c>
      <c r="E609" s="0" t="s">
        <v>438</v>
      </c>
      <c r="F609" s="0" t="s">
        <v>141</v>
      </c>
      <c r="G609" s="0" t="s">
        <v>292</v>
      </c>
      <c r="H609" s="6" t="n">
        <f aca="false">'Import-dataset'!BJ11</f>
        <v>62922</v>
      </c>
    </row>
    <row r="610" customFormat="false" ht="15" hidden="false" customHeight="false" outlineLevel="0" collapsed="false">
      <c r="A610" s="0" t="s">
        <v>231</v>
      </c>
      <c r="B610" s="0" t="n">
        <v>2024</v>
      </c>
      <c r="C610" s="0" t="s">
        <v>437</v>
      </c>
      <c r="D610" s="0" t="s">
        <v>319</v>
      </c>
      <c r="E610" s="0" t="s">
        <v>438</v>
      </c>
      <c r="F610" s="0" t="s">
        <v>141</v>
      </c>
      <c r="G610" s="0" t="s">
        <v>292</v>
      </c>
      <c r="H610" s="6" t="n">
        <f aca="false">'Import-dataset'!BJ12</f>
        <v>62025</v>
      </c>
    </row>
    <row r="611" customFormat="false" ht="15" hidden="false" customHeight="false" outlineLevel="0" collapsed="false">
      <c r="A611" s="0" t="s">
        <v>231</v>
      </c>
      <c r="B611" s="0" t="n">
        <v>2025</v>
      </c>
      <c r="C611" s="0" t="s">
        <v>437</v>
      </c>
      <c r="D611" s="0" t="s">
        <v>319</v>
      </c>
      <c r="E611" s="0" t="s">
        <v>438</v>
      </c>
      <c r="F611" s="0" t="s">
        <v>141</v>
      </c>
      <c r="G611" s="0" t="s">
        <v>292</v>
      </c>
      <c r="H611" s="6" t="n">
        <f aca="false">'Import-dataset'!BJ13</f>
        <v>59473</v>
      </c>
    </row>
    <row r="612" customFormat="false" ht="15" hidden="false" customHeight="false" outlineLevel="0" collapsed="false">
      <c r="A612" s="0" t="s">
        <v>231</v>
      </c>
      <c r="B612" s="0" t="n">
        <v>2016</v>
      </c>
      <c r="C612" s="0" t="s">
        <v>439</v>
      </c>
      <c r="D612" s="0" t="s">
        <v>319</v>
      </c>
      <c r="E612" s="0" t="s">
        <v>440</v>
      </c>
      <c r="F612" s="0" t="s">
        <v>141</v>
      </c>
      <c r="G612" s="0" t="s">
        <v>293</v>
      </c>
      <c r="H612" s="6" t="n">
        <f aca="false">'Import-dataset'!BK4</f>
        <v>4295</v>
      </c>
    </row>
    <row r="613" customFormat="false" ht="15" hidden="false" customHeight="false" outlineLevel="0" collapsed="false">
      <c r="A613" s="0" t="s">
        <v>231</v>
      </c>
      <c r="B613" s="0" t="n">
        <v>2017</v>
      </c>
      <c r="C613" s="0" t="s">
        <v>439</v>
      </c>
      <c r="D613" s="0" t="s">
        <v>319</v>
      </c>
      <c r="E613" s="0" t="s">
        <v>440</v>
      </c>
      <c r="F613" s="0" t="s">
        <v>141</v>
      </c>
      <c r="G613" s="0" t="s">
        <v>293</v>
      </c>
      <c r="H613" s="6" t="n">
        <f aca="false">'Import-dataset'!BK5</f>
        <v>12266</v>
      </c>
    </row>
    <row r="614" customFormat="false" ht="15" hidden="false" customHeight="false" outlineLevel="0" collapsed="false">
      <c r="A614" s="0" t="s">
        <v>231</v>
      </c>
      <c r="B614" s="0" t="n">
        <v>2018</v>
      </c>
      <c r="C614" s="0" t="s">
        <v>439</v>
      </c>
      <c r="D614" s="0" t="s">
        <v>319</v>
      </c>
      <c r="E614" s="0" t="s">
        <v>440</v>
      </c>
      <c r="F614" s="0" t="s">
        <v>141</v>
      </c>
      <c r="G614" s="0" t="s">
        <v>293</v>
      </c>
      <c r="H614" s="6" t="n">
        <f aca="false">'Import-dataset'!BK6</f>
        <v>4294</v>
      </c>
    </row>
    <row r="615" customFormat="false" ht="15" hidden="false" customHeight="false" outlineLevel="0" collapsed="false">
      <c r="A615" s="0" t="s">
        <v>231</v>
      </c>
      <c r="B615" s="0" t="n">
        <v>2019</v>
      </c>
      <c r="C615" s="0" t="s">
        <v>439</v>
      </c>
      <c r="D615" s="0" t="s">
        <v>319</v>
      </c>
      <c r="E615" s="0" t="s">
        <v>440</v>
      </c>
      <c r="F615" s="0" t="s">
        <v>141</v>
      </c>
      <c r="G615" s="0" t="s">
        <v>293</v>
      </c>
      <c r="H615" s="6" t="n">
        <f aca="false">'Import-dataset'!BK7</f>
        <v>5660</v>
      </c>
    </row>
    <row r="616" customFormat="false" ht="15" hidden="false" customHeight="false" outlineLevel="0" collapsed="false">
      <c r="A616" s="0" t="s">
        <v>231</v>
      </c>
      <c r="B616" s="0" t="n">
        <v>2020</v>
      </c>
      <c r="C616" s="0" t="s">
        <v>439</v>
      </c>
      <c r="D616" s="0" t="s">
        <v>319</v>
      </c>
      <c r="E616" s="0" t="s">
        <v>440</v>
      </c>
      <c r="F616" s="0" t="s">
        <v>141</v>
      </c>
      <c r="G616" s="0" t="s">
        <v>293</v>
      </c>
      <c r="H616" s="6" t="n">
        <f aca="false">'Import-dataset'!BK8</f>
        <v>5595</v>
      </c>
    </row>
    <row r="617" customFormat="false" ht="15" hidden="false" customHeight="false" outlineLevel="0" collapsed="false">
      <c r="A617" s="0" t="s">
        <v>231</v>
      </c>
      <c r="B617" s="0" t="n">
        <v>2021</v>
      </c>
      <c r="C617" s="0" t="s">
        <v>439</v>
      </c>
      <c r="D617" s="0" t="s">
        <v>319</v>
      </c>
      <c r="E617" s="0" t="s">
        <v>440</v>
      </c>
      <c r="F617" s="0" t="s">
        <v>141</v>
      </c>
      <c r="G617" s="0" t="s">
        <v>293</v>
      </c>
      <c r="H617" s="6" t="n">
        <f aca="false">'Import-dataset'!BK9</f>
        <v>5759</v>
      </c>
    </row>
    <row r="618" customFormat="false" ht="15" hidden="false" customHeight="false" outlineLevel="0" collapsed="false">
      <c r="A618" s="0" t="s">
        <v>231</v>
      </c>
      <c r="B618" s="0" t="n">
        <v>2022</v>
      </c>
      <c r="C618" s="0" t="s">
        <v>439</v>
      </c>
      <c r="D618" s="0" t="s">
        <v>319</v>
      </c>
      <c r="E618" s="0" t="s">
        <v>440</v>
      </c>
      <c r="F618" s="0" t="s">
        <v>141</v>
      </c>
      <c r="G618" s="0" t="s">
        <v>293</v>
      </c>
      <c r="H618" s="6" t="n">
        <f aca="false">'Import-dataset'!BK10</f>
        <v>5454</v>
      </c>
    </row>
    <row r="619" customFormat="false" ht="15" hidden="false" customHeight="false" outlineLevel="0" collapsed="false">
      <c r="A619" s="0" t="s">
        <v>231</v>
      </c>
      <c r="B619" s="0" t="n">
        <v>2023</v>
      </c>
      <c r="C619" s="0" t="s">
        <v>439</v>
      </c>
      <c r="D619" s="0" t="s">
        <v>319</v>
      </c>
      <c r="E619" s="0" t="s">
        <v>440</v>
      </c>
      <c r="F619" s="0" t="s">
        <v>141</v>
      </c>
      <c r="G619" s="0" t="s">
        <v>293</v>
      </c>
      <c r="H619" s="6" t="n">
        <f aca="false">'Import-dataset'!BK11</f>
        <v>5995</v>
      </c>
    </row>
    <row r="620" customFormat="false" ht="15" hidden="false" customHeight="false" outlineLevel="0" collapsed="false">
      <c r="A620" s="0" t="s">
        <v>231</v>
      </c>
      <c r="B620" s="0" t="n">
        <v>2024</v>
      </c>
      <c r="C620" s="0" t="s">
        <v>439</v>
      </c>
      <c r="D620" s="0" t="s">
        <v>319</v>
      </c>
      <c r="E620" s="0" t="s">
        <v>440</v>
      </c>
      <c r="F620" s="0" t="s">
        <v>141</v>
      </c>
      <c r="G620" s="0" t="s">
        <v>293</v>
      </c>
      <c r="H620" s="6" t="n">
        <f aca="false">'Import-dataset'!BK12</f>
        <v>7195</v>
      </c>
    </row>
    <row r="621" customFormat="false" ht="15" hidden="false" customHeight="false" outlineLevel="0" collapsed="false">
      <c r="A621" s="0" t="s">
        <v>231</v>
      </c>
      <c r="B621" s="0" t="n">
        <v>2025</v>
      </c>
      <c r="C621" s="0" t="s">
        <v>439</v>
      </c>
      <c r="D621" s="0" t="s">
        <v>319</v>
      </c>
      <c r="E621" s="0" t="s">
        <v>440</v>
      </c>
      <c r="F621" s="0" t="s">
        <v>141</v>
      </c>
      <c r="G621" s="0" t="s">
        <v>293</v>
      </c>
      <c r="H621" s="6" t="n">
        <f aca="false">'Import-dataset'!BK13</f>
        <v>9546</v>
      </c>
    </row>
    <row r="622" customFormat="false" ht="15" hidden="false" customHeight="false" outlineLevel="0" collapsed="false">
      <c r="A622" s="0" t="s">
        <v>231</v>
      </c>
      <c r="B622" s="0" t="n">
        <v>2016</v>
      </c>
      <c r="C622" s="0" t="s">
        <v>441</v>
      </c>
      <c r="D622" s="0" t="s">
        <v>316</v>
      </c>
      <c r="E622" s="0" t="s">
        <v>442</v>
      </c>
      <c r="F622" s="0" t="s">
        <v>141</v>
      </c>
      <c r="G622" s="0" t="s">
        <v>294</v>
      </c>
      <c r="H622" s="6" t="n">
        <f aca="false">'Import-dataset'!BL4</f>
        <v>40365</v>
      </c>
    </row>
    <row r="623" customFormat="false" ht="15" hidden="false" customHeight="false" outlineLevel="0" collapsed="false">
      <c r="A623" s="0" t="s">
        <v>231</v>
      </c>
      <c r="B623" s="0" t="n">
        <v>2017</v>
      </c>
      <c r="C623" s="0" t="s">
        <v>441</v>
      </c>
      <c r="D623" s="0" t="s">
        <v>316</v>
      </c>
      <c r="E623" s="0" t="s">
        <v>442</v>
      </c>
      <c r="F623" s="0" t="s">
        <v>141</v>
      </c>
      <c r="G623" s="0" t="s">
        <v>294</v>
      </c>
      <c r="H623" s="6" t="n">
        <f aca="false">'Import-dataset'!BL5</f>
        <v>40571</v>
      </c>
    </row>
    <row r="624" customFormat="false" ht="15" hidden="false" customHeight="false" outlineLevel="0" collapsed="false">
      <c r="A624" s="0" t="s">
        <v>231</v>
      </c>
      <c r="B624" s="0" t="n">
        <v>2018</v>
      </c>
      <c r="C624" s="0" t="s">
        <v>441</v>
      </c>
      <c r="D624" s="0" t="s">
        <v>316</v>
      </c>
      <c r="E624" s="0" t="s">
        <v>442</v>
      </c>
      <c r="F624" s="0" t="s">
        <v>141</v>
      </c>
      <c r="G624" s="0" t="s">
        <v>294</v>
      </c>
      <c r="H624" s="6" t="n">
        <f aca="false">'Import-dataset'!BL6</f>
        <v>44299</v>
      </c>
    </row>
    <row r="625" customFormat="false" ht="15" hidden="false" customHeight="false" outlineLevel="0" collapsed="false">
      <c r="A625" s="0" t="s">
        <v>231</v>
      </c>
      <c r="B625" s="0" t="n">
        <v>2019</v>
      </c>
      <c r="C625" s="0" t="s">
        <v>441</v>
      </c>
      <c r="D625" s="0" t="s">
        <v>316</v>
      </c>
      <c r="E625" s="0" t="s">
        <v>442</v>
      </c>
      <c r="F625" s="0" t="s">
        <v>141</v>
      </c>
      <c r="G625" s="0" t="s">
        <v>294</v>
      </c>
      <c r="H625" s="6" t="n">
        <f aca="false">'Import-dataset'!BL7</f>
        <v>46308</v>
      </c>
    </row>
    <row r="626" customFormat="false" ht="15" hidden="false" customHeight="false" outlineLevel="0" collapsed="false">
      <c r="A626" s="0" t="s">
        <v>231</v>
      </c>
      <c r="B626" s="0" t="n">
        <v>2020</v>
      </c>
      <c r="C626" s="0" t="s">
        <v>441</v>
      </c>
      <c r="D626" s="0" t="s">
        <v>316</v>
      </c>
      <c r="E626" s="0" t="s">
        <v>442</v>
      </c>
      <c r="F626" s="0" t="s">
        <v>141</v>
      </c>
      <c r="G626" s="0" t="s">
        <v>294</v>
      </c>
      <c r="H626" s="6" t="n">
        <f aca="false">'Import-dataset'!BL8</f>
        <v>46038</v>
      </c>
    </row>
    <row r="627" customFormat="false" ht="15" hidden="false" customHeight="false" outlineLevel="0" collapsed="false">
      <c r="A627" s="0" t="s">
        <v>231</v>
      </c>
      <c r="B627" s="0" t="n">
        <v>2021</v>
      </c>
      <c r="C627" s="0" t="s">
        <v>441</v>
      </c>
      <c r="D627" s="0" t="s">
        <v>316</v>
      </c>
      <c r="E627" s="0" t="s">
        <v>442</v>
      </c>
      <c r="F627" s="0" t="s">
        <v>141</v>
      </c>
      <c r="G627" s="0" t="s">
        <v>294</v>
      </c>
      <c r="H627" s="6" t="n">
        <f aca="false">'Import-dataset'!BL9</f>
        <v>50131</v>
      </c>
    </row>
    <row r="628" customFormat="false" ht="15" hidden="false" customHeight="false" outlineLevel="0" collapsed="false">
      <c r="A628" s="0" t="s">
        <v>231</v>
      </c>
      <c r="B628" s="0" t="n">
        <v>2022</v>
      </c>
      <c r="C628" s="0" t="s">
        <v>441</v>
      </c>
      <c r="D628" s="0" t="s">
        <v>316</v>
      </c>
      <c r="E628" s="0" t="s">
        <v>442</v>
      </c>
      <c r="F628" s="0" t="s">
        <v>141</v>
      </c>
      <c r="G628" s="0" t="s">
        <v>294</v>
      </c>
      <c r="H628" s="6" t="n">
        <f aca="false">'Import-dataset'!BL10</f>
        <v>57476</v>
      </c>
    </row>
    <row r="629" customFormat="false" ht="15" hidden="false" customHeight="false" outlineLevel="0" collapsed="false">
      <c r="A629" s="0" t="s">
        <v>231</v>
      </c>
      <c r="B629" s="0" t="n">
        <v>2023</v>
      </c>
      <c r="C629" s="0" t="s">
        <v>441</v>
      </c>
      <c r="D629" s="0" t="s">
        <v>316</v>
      </c>
      <c r="E629" s="0" t="s">
        <v>442</v>
      </c>
      <c r="F629" s="0" t="s">
        <v>141</v>
      </c>
      <c r="G629" s="0" t="s">
        <v>294</v>
      </c>
      <c r="H629" s="6" t="n">
        <f aca="false">'Import-dataset'!BL11</f>
        <v>55698</v>
      </c>
    </row>
    <row r="630" customFormat="false" ht="15" hidden="false" customHeight="false" outlineLevel="0" collapsed="false">
      <c r="A630" s="0" t="s">
        <v>231</v>
      </c>
      <c r="B630" s="0" t="n">
        <v>2024</v>
      </c>
      <c r="C630" s="0" t="s">
        <v>441</v>
      </c>
      <c r="D630" s="0" t="s">
        <v>316</v>
      </c>
      <c r="E630" s="0" t="s">
        <v>442</v>
      </c>
      <c r="F630" s="0" t="s">
        <v>141</v>
      </c>
      <c r="G630" s="0" t="s">
        <v>294</v>
      </c>
      <c r="H630" s="6" t="n">
        <f aca="false">'Import-dataset'!BL12</f>
        <v>59310</v>
      </c>
    </row>
    <row r="631" customFormat="false" ht="15" hidden="false" customHeight="false" outlineLevel="0" collapsed="false">
      <c r="A631" s="0" t="s">
        <v>231</v>
      </c>
      <c r="B631" s="0" t="n">
        <v>2025</v>
      </c>
      <c r="C631" s="0" t="s">
        <v>441</v>
      </c>
      <c r="D631" s="0" t="s">
        <v>316</v>
      </c>
      <c r="E631" s="0" t="s">
        <v>442</v>
      </c>
      <c r="F631" s="0" t="s">
        <v>141</v>
      </c>
      <c r="G631" s="0" t="s">
        <v>294</v>
      </c>
      <c r="H631" s="6" t="n">
        <f aca="false">'Import-dataset'!BL13</f>
        <v>63028</v>
      </c>
    </row>
    <row r="632" customFormat="false" ht="15" hidden="false" customHeight="false" outlineLevel="0" collapsed="false">
      <c r="A632" s="0" t="s">
        <v>231</v>
      </c>
      <c r="B632" s="0" t="n">
        <v>2016</v>
      </c>
      <c r="C632" s="0" t="s">
        <v>443</v>
      </c>
      <c r="D632" s="0" t="s">
        <v>319</v>
      </c>
      <c r="E632" s="0" t="s">
        <v>444</v>
      </c>
      <c r="F632" s="0" t="s">
        <v>141</v>
      </c>
      <c r="G632" s="0" t="s">
        <v>295</v>
      </c>
      <c r="H632" s="6" t="n">
        <f aca="false">'Import-dataset'!BM4</f>
        <v>1661</v>
      </c>
    </row>
    <row r="633" customFormat="false" ht="15" hidden="false" customHeight="false" outlineLevel="0" collapsed="false">
      <c r="A633" s="0" t="s">
        <v>231</v>
      </c>
      <c r="B633" s="0" t="n">
        <v>2017</v>
      </c>
      <c r="C633" s="0" t="s">
        <v>443</v>
      </c>
      <c r="D633" s="0" t="s">
        <v>319</v>
      </c>
      <c r="E633" s="0" t="s">
        <v>444</v>
      </c>
      <c r="F633" s="0" t="s">
        <v>141</v>
      </c>
      <c r="G633" s="0" t="s">
        <v>295</v>
      </c>
      <c r="H633" s="6" t="n">
        <f aca="false">'Import-dataset'!BM5</f>
        <v>1629</v>
      </c>
    </row>
    <row r="634" customFormat="false" ht="15" hidden="false" customHeight="false" outlineLevel="0" collapsed="false">
      <c r="A634" s="0" t="s">
        <v>231</v>
      </c>
      <c r="B634" s="0" t="n">
        <v>2018</v>
      </c>
      <c r="C634" s="0" t="s">
        <v>443</v>
      </c>
      <c r="D634" s="0" t="s">
        <v>319</v>
      </c>
      <c r="E634" s="0" t="s">
        <v>444</v>
      </c>
      <c r="F634" s="0" t="s">
        <v>141</v>
      </c>
      <c r="G634" s="0" t="s">
        <v>295</v>
      </c>
      <c r="H634" s="6" t="n">
        <f aca="false">'Import-dataset'!BM6</f>
        <v>1789</v>
      </c>
    </row>
    <row r="635" customFormat="false" ht="15" hidden="false" customHeight="false" outlineLevel="0" collapsed="false">
      <c r="A635" s="0" t="s">
        <v>231</v>
      </c>
      <c r="B635" s="0" t="n">
        <v>2019</v>
      </c>
      <c r="C635" s="0" t="s">
        <v>443</v>
      </c>
      <c r="D635" s="0" t="s">
        <v>319</v>
      </c>
      <c r="E635" s="0" t="s">
        <v>444</v>
      </c>
      <c r="F635" s="0" t="s">
        <v>141</v>
      </c>
      <c r="G635" s="0" t="s">
        <v>295</v>
      </c>
      <c r="H635" s="6" t="n">
        <f aca="false">'Import-dataset'!BM7</f>
        <v>1742</v>
      </c>
    </row>
    <row r="636" customFormat="false" ht="15" hidden="false" customHeight="false" outlineLevel="0" collapsed="false">
      <c r="A636" s="0" t="s">
        <v>231</v>
      </c>
      <c r="B636" s="0" t="n">
        <v>2020</v>
      </c>
      <c r="C636" s="0" t="s">
        <v>443</v>
      </c>
      <c r="D636" s="0" t="s">
        <v>319</v>
      </c>
      <c r="E636" s="0" t="s">
        <v>444</v>
      </c>
      <c r="F636" s="0" t="s">
        <v>141</v>
      </c>
      <c r="G636" s="0" t="s">
        <v>295</v>
      </c>
      <c r="H636" s="6" t="n">
        <f aca="false">'Import-dataset'!BM8</f>
        <v>1726</v>
      </c>
    </row>
    <row r="637" customFormat="false" ht="15" hidden="false" customHeight="false" outlineLevel="0" collapsed="false">
      <c r="A637" s="0" t="s">
        <v>231</v>
      </c>
      <c r="B637" s="0" t="n">
        <v>2021</v>
      </c>
      <c r="C637" s="0" t="s">
        <v>443</v>
      </c>
      <c r="D637" s="0" t="s">
        <v>319</v>
      </c>
      <c r="E637" s="0" t="s">
        <v>444</v>
      </c>
      <c r="F637" s="0" t="s">
        <v>141</v>
      </c>
      <c r="G637" s="0" t="s">
        <v>295</v>
      </c>
      <c r="H637" s="6" t="n">
        <f aca="false">'Import-dataset'!BM9</f>
        <v>1958</v>
      </c>
    </row>
    <row r="638" customFormat="false" ht="15" hidden="false" customHeight="false" outlineLevel="0" collapsed="false">
      <c r="A638" s="0" t="s">
        <v>231</v>
      </c>
      <c r="B638" s="0" t="n">
        <v>2022</v>
      </c>
      <c r="C638" s="0" t="s">
        <v>443</v>
      </c>
      <c r="D638" s="0" t="s">
        <v>319</v>
      </c>
      <c r="E638" s="0" t="s">
        <v>444</v>
      </c>
      <c r="F638" s="0" t="s">
        <v>141</v>
      </c>
      <c r="G638" s="0" t="s">
        <v>295</v>
      </c>
      <c r="H638" s="6" t="n">
        <f aca="false">'Import-dataset'!BM10</f>
        <v>2136</v>
      </c>
    </row>
    <row r="639" customFormat="false" ht="15" hidden="false" customHeight="false" outlineLevel="0" collapsed="false">
      <c r="A639" s="0" t="s">
        <v>231</v>
      </c>
      <c r="B639" s="0" t="n">
        <v>2023</v>
      </c>
      <c r="C639" s="0" t="s">
        <v>443</v>
      </c>
      <c r="D639" s="0" t="s">
        <v>319</v>
      </c>
      <c r="E639" s="0" t="s">
        <v>444</v>
      </c>
      <c r="F639" s="0" t="s">
        <v>141</v>
      </c>
      <c r="G639" s="0" t="s">
        <v>295</v>
      </c>
      <c r="H639" s="6" t="n">
        <f aca="false">'Import-dataset'!BM11</f>
        <v>1960</v>
      </c>
    </row>
    <row r="640" customFormat="false" ht="15" hidden="false" customHeight="false" outlineLevel="0" collapsed="false">
      <c r="A640" s="0" t="s">
        <v>231</v>
      </c>
      <c r="B640" s="0" t="n">
        <v>2024</v>
      </c>
      <c r="C640" s="0" t="s">
        <v>443</v>
      </c>
      <c r="D640" s="0" t="s">
        <v>319</v>
      </c>
      <c r="E640" s="0" t="s">
        <v>444</v>
      </c>
      <c r="F640" s="0" t="s">
        <v>141</v>
      </c>
      <c r="G640" s="0" t="s">
        <v>295</v>
      </c>
      <c r="H640" s="6" t="n">
        <f aca="false">'Import-dataset'!BM12</f>
        <v>1973</v>
      </c>
    </row>
    <row r="641" customFormat="false" ht="15" hidden="false" customHeight="false" outlineLevel="0" collapsed="false">
      <c r="A641" s="0" t="s">
        <v>231</v>
      </c>
      <c r="B641" s="0" t="n">
        <v>2025</v>
      </c>
      <c r="C641" s="0" t="s">
        <v>443</v>
      </c>
      <c r="D641" s="0" t="s">
        <v>319</v>
      </c>
      <c r="E641" s="0" t="s">
        <v>444</v>
      </c>
      <c r="F641" s="0" t="s">
        <v>141</v>
      </c>
      <c r="G641" s="0" t="s">
        <v>295</v>
      </c>
      <c r="H641" s="6" t="n">
        <f aca="false">'Import-dataset'!BM13</f>
        <v>2011</v>
      </c>
    </row>
    <row r="642" customFormat="false" ht="15" hidden="false" customHeight="false" outlineLevel="0" collapsed="false">
      <c r="A642" s="0" t="s">
        <v>231</v>
      </c>
      <c r="B642" s="0" t="n">
        <v>2016</v>
      </c>
      <c r="C642" s="0" t="s">
        <v>445</v>
      </c>
      <c r="D642" s="0" t="s">
        <v>319</v>
      </c>
      <c r="E642" s="0" t="s">
        <v>446</v>
      </c>
      <c r="F642" s="0" t="s">
        <v>141</v>
      </c>
      <c r="G642" s="0" t="s">
        <v>296</v>
      </c>
      <c r="H642" s="6" t="n">
        <f aca="false">'Import-dataset'!BN4</f>
        <v>4276</v>
      </c>
    </row>
    <row r="643" customFormat="false" ht="15" hidden="false" customHeight="false" outlineLevel="0" collapsed="false">
      <c r="A643" s="0" t="s">
        <v>231</v>
      </c>
      <c r="B643" s="0" t="n">
        <v>2017</v>
      </c>
      <c r="C643" s="0" t="s">
        <v>445</v>
      </c>
      <c r="D643" s="0" t="s">
        <v>319</v>
      </c>
      <c r="E643" s="0" t="s">
        <v>446</v>
      </c>
      <c r="F643" s="0" t="s">
        <v>141</v>
      </c>
      <c r="G643" s="0" t="s">
        <v>296</v>
      </c>
      <c r="H643" s="6" t="n">
        <f aca="false">'Import-dataset'!BN5</f>
        <v>4256</v>
      </c>
    </row>
    <row r="644" customFormat="false" ht="15" hidden="false" customHeight="false" outlineLevel="0" collapsed="false">
      <c r="A644" s="0" t="s">
        <v>231</v>
      </c>
      <c r="B644" s="0" t="n">
        <v>2018</v>
      </c>
      <c r="C644" s="0" t="s">
        <v>445</v>
      </c>
      <c r="D644" s="0" t="s">
        <v>319</v>
      </c>
      <c r="E644" s="0" t="s">
        <v>446</v>
      </c>
      <c r="F644" s="0" t="s">
        <v>141</v>
      </c>
      <c r="G644" s="0" t="s">
        <v>296</v>
      </c>
      <c r="H644" s="6" t="n">
        <f aca="false">'Import-dataset'!BN6</f>
        <v>4874</v>
      </c>
    </row>
    <row r="645" customFormat="false" ht="15" hidden="false" customHeight="false" outlineLevel="0" collapsed="false">
      <c r="A645" s="0" t="s">
        <v>231</v>
      </c>
      <c r="B645" s="0" t="n">
        <v>2019</v>
      </c>
      <c r="C645" s="0" t="s">
        <v>445</v>
      </c>
      <c r="D645" s="0" t="s">
        <v>319</v>
      </c>
      <c r="E645" s="0" t="s">
        <v>446</v>
      </c>
      <c r="F645" s="0" t="s">
        <v>141</v>
      </c>
      <c r="G645" s="0" t="s">
        <v>296</v>
      </c>
      <c r="H645" s="6" t="n">
        <f aca="false">'Import-dataset'!BN7</f>
        <v>4983</v>
      </c>
    </row>
    <row r="646" customFormat="false" ht="15" hidden="false" customHeight="false" outlineLevel="0" collapsed="false">
      <c r="A646" s="0" t="s">
        <v>231</v>
      </c>
      <c r="B646" s="0" t="n">
        <v>2020</v>
      </c>
      <c r="C646" s="0" t="s">
        <v>445</v>
      </c>
      <c r="D646" s="0" t="s">
        <v>319</v>
      </c>
      <c r="E646" s="0" t="s">
        <v>446</v>
      </c>
      <c r="F646" s="0" t="s">
        <v>141</v>
      </c>
      <c r="G646" s="0" t="s">
        <v>296</v>
      </c>
      <c r="H646" s="6" t="n">
        <f aca="false">'Import-dataset'!BN8</f>
        <v>5224</v>
      </c>
    </row>
    <row r="647" customFormat="false" ht="15" hidden="false" customHeight="false" outlineLevel="0" collapsed="false">
      <c r="A647" s="0" t="s">
        <v>231</v>
      </c>
      <c r="B647" s="0" t="n">
        <v>2021</v>
      </c>
      <c r="C647" s="0" t="s">
        <v>445</v>
      </c>
      <c r="D647" s="0" t="s">
        <v>319</v>
      </c>
      <c r="E647" s="0" t="s">
        <v>446</v>
      </c>
      <c r="F647" s="0" t="s">
        <v>141</v>
      </c>
      <c r="G647" s="0" t="s">
        <v>296</v>
      </c>
      <c r="H647" s="6" t="n">
        <f aca="false">'Import-dataset'!BN9</f>
        <v>5647</v>
      </c>
    </row>
    <row r="648" customFormat="false" ht="15" hidden="false" customHeight="false" outlineLevel="0" collapsed="false">
      <c r="A648" s="0" t="s">
        <v>231</v>
      </c>
      <c r="B648" s="0" t="n">
        <v>2022</v>
      </c>
      <c r="C648" s="0" t="s">
        <v>445</v>
      </c>
      <c r="D648" s="0" t="s">
        <v>319</v>
      </c>
      <c r="E648" s="0" t="s">
        <v>446</v>
      </c>
      <c r="F648" s="0" t="s">
        <v>141</v>
      </c>
      <c r="G648" s="0" t="s">
        <v>296</v>
      </c>
      <c r="H648" s="6" t="n">
        <f aca="false">'Import-dataset'!BN10</f>
        <v>6266</v>
      </c>
    </row>
    <row r="649" customFormat="false" ht="15" hidden="false" customHeight="false" outlineLevel="0" collapsed="false">
      <c r="A649" s="0" t="s">
        <v>231</v>
      </c>
      <c r="B649" s="0" t="n">
        <v>2023</v>
      </c>
      <c r="C649" s="0" t="s">
        <v>445</v>
      </c>
      <c r="D649" s="0" t="s">
        <v>319</v>
      </c>
      <c r="E649" s="0" t="s">
        <v>446</v>
      </c>
      <c r="F649" s="0" t="s">
        <v>141</v>
      </c>
      <c r="G649" s="0" t="s">
        <v>296</v>
      </c>
      <c r="H649" s="6" t="n">
        <f aca="false">'Import-dataset'!BN11</f>
        <v>5336</v>
      </c>
    </row>
    <row r="650" customFormat="false" ht="15" hidden="false" customHeight="false" outlineLevel="0" collapsed="false">
      <c r="A650" s="0" t="s">
        <v>231</v>
      </c>
      <c r="B650" s="0" t="n">
        <v>2024</v>
      </c>
      <c r="C650" s="0" t="s">
        <v>445</v>
      </c>
      <c r="D650" s="0" t="s">
        <v>319</v>
      </c>
      <c r="E650" s="0" t="s">
        <v>446</v>
      </c>
      <c r="F650" s="0" t="s">
        <v>141</v>
      </c>
      <c r="G650" s="0" t="s">
        <v>296</v>
      </c>
      <c r="H650" s="6" t="n">
        <f aca="false">'Import-dataset'!BN12</f>
        <v>5994</v>
      </c>
    </row>
    <row r="651" customFormat="false" ht="15" hidden="false" customHeight="false" outlineLevel="0" collapsed="false">
      <c r="A651" s="0" t="s">
        <v>231</v>
      </c>
      <c r="B651" s="0" t="n">
        <v>2025</v>
      </c>
      <c r="C651" s="0" t="s">
        <v>445</v>
      </c>
      <c r="D651" s="0" t="s">
        <v>319</v>
      </c>
      <c r="E651" s="0" t="s">
        <v>446</v>
      </c>
      <c r="F651" s="0" t="s">
        <v>141</v>
      </c>
      <c r="G651" s="0" t="s">
        <v>296</v>
      </c>
      <c r="H651" s="6" t="n">
        <f aca="false">'Import-dataset'!BN13</f>
        <v>6346</v>
      </c>
    </row>
    <row r="652" customFormat="false" ht="15" hidden="false" customHeight="false" outlineLevel="0" collapsed="false">
      <c r="A652" s="0" t="s">
        <v>231</v>
      </c>
      <c r="B652" s="0" t="n">
        <v>2016</v>
      </c>
      <c r="C652" s="0" t="s">
        <v>447</v>
      </c>
      <c r="D652" s="0" t="s">
        <v>319</v>
      </c>
      <c r="E652" s="0" t="s">
        <v>448</v>
      </c>
      <c r="F652" s="0" t="s">
        <v>141</v>
      </c>
      <c r="G652" s="0" t="s">
        <v>297</v>
      </c>
      <c r="H652" s="6" t="n">
        <f aca="false">'Import-dataset'!BO4</f>
        <v>1462</v>
      </c>
    </row>
    <row r="653" customFormat="false" ht="15" hidden="false" customHeight="false" outlineLevel="0" collapsed="false">
      <c r="A653" s="0" t="s">
        <v>231</v>
      </c>
      <c r="B653" s="0" t="n">
        <v>2017</v>
      </c>
      <c r="C653" s="0" t="s">
        <v>447</v>
      </c>
      <c r="D653" s="0" t="s">
        <v>319</v>
      </c>
      <c r="E653" s="0" t="s">
        <v>448</v>
      </c>
      <c r="F653" s="0" t="s">
        <v>141</v>
      </c>
      <c r="G653" s="0" t="s">
        <v>297</v>
      </c>
      <c r="H653" s="6" t="n">
        <f aca="false">'Import-dataset'!BO5</f>
        <v>1537</v>
      </c>
    </row>
    <row r="654" customFormat="false" ht="15" hidden="false" customHeight="false" outlineLevel="0" collapsed="false">
      <c r="A654" s="0" t="s">
        <v>231</v>
      </c>
      <c r="B654" s="0" t="n">
        <v>2018</v>
      </c>
      <c r="C654" s="0" t="s">
        <v>447</v>
      </c>
      <c r="D654" s="0" t="s">
        <v>319</v>
      </c>
      <c r="E654" s="0" t="s">
        <v>448</v>
      </c>
      <c r="F654" s="0" t="s">
        <v>141</v>
      </c>
      <c r="G654" s="0" t="s">
        <v>297</v>
      </c>
      <c r="H654" s="6" t="n">
        <f aca="false">'Import-dataset'!BO6</f>
        <v>1843</v>
      </c>
    </row>
    <row r="655" customFormat="false" ht="15" hidden="false" customHeight="false" outlineLevel="0" collapsed="false">
      <c r="A655" s="0" t="s">
        <v>231</v>
      </c>
      <c r="B655" s="0" t="n">
        <v>2019</v>
      </c>
      <c r="C655" s="0" t="s">
        <v>447</v>
      </c>
      <c r="D655" s="0" t="s">
        <v>319</v>
      </c>
      <c r="E655" s="0" t="s">
        <v>448</v>
      </c>
      <c r="F655" s="0" t="s">
        <v>141</v>
      </c>
      <c r="G655" s="0" t="s">
        <v>297</v>
      </c>
      <c r="H655" s="6" t="n">
        <f aca="false">'Import-dataset'!BO7</f>
        <v>1886</v>
      </c>
    </row>
    <row r="656" customFormat="false" ht="15" hidden="false" customHeight="false" outlineLevel="0" collapsed="false">
      <c r="A656" s="0" t="s">
        <v>231</v>
      </c>
      <c r="B656" s="0" t="n">
        <v>2020</v>
      </c>
      <c r="C656" s="0" t="s">
        <v>447</v>
      </c>
      <c r="D656" s="0" t="s">
        <v>319</v>
      </c>
      <c r="E656" s="0" t="s">
        <v>448</v>
      </c>
      <c r="F656" s="0" t="s">
        <v>141</v>
      </c>
      <c r="G656" s="0" t="s">
        <v>297</v>
      </c>
      <c r="H656" s="6" t="n">
        <f aca="false">'Import-dataset'!BO8</f>
        <v>1512</v>
      </c>
    </row>
    <row r="657" customFormat="false" ht="15" hidden="false" customHeight="false" outlineLevel="0" collapsed="false">
      <c r="A657" s="0" t="s">
        <v>231</v>
      </c>
      <c r="B657" s="0" t="n">
        <v>2021</v>
      </c>
      <c r="C657" s="0" t="s">
        <v>447</v>
      </c>
      <c r="D657" s="0" t="s">
        <v>319</v>
      </c>
      <c r="E657" s="0" t="s">
        <v>448</v>
      </c>
      <c r="F657" s="0" t="s">
        <v>141</v>
      </c>
      <c r="G657" s="0" t="s">
        <v>297</v>
      </c>
      <c r="H657" s="6" t="n">
        <f aca="false">'Import-dataset'!BO9</f>
        <v>1632</v>
      </c>
    </row>
    <row r="658" customFormat="false" ht="15" hidden="false" customHeight="false" outlineLevel="0" collapsed="false">
      <c r="A658" s="0" t="s">
        <v>231</v>
      </c>
      <c r="B658" s="0" t="n">
        <v>2022</v>
      </c>
      <c r="C658" s="0" t="s">
        <v>447</v>
      </c>
      <c r="D658" s="0" t="s">
        <v>319</v>
      </c>
      <c r="E658" s="0" t="s">
        <v>448</v>
      </c>
      <c r="F658" s="0" t="s">
        <v>141</v>
      </c>
      <c r="G658" s="0" t="s">
        <v>297</v>
      </c>
      <c r="H658" s="6" t="n">
        <f aca="false">'Import-dataset'!BO10</f>
        <v>2203</v>
      </c>
    </row>
    <row r="659" customFormat="false" ht="15" hidden="false" customHeight="false" outlineLevel="0" collapsed="false">
      <c r="A659" s="0" t="s">
        <v>231</v>
      </c>
      <c r="B659" s="0" t="n">
        <v>2023</v>
      </c>
      <c r="C659" s="0" t="s">
        <v>447</v>
      </c>
      <c r="D659" s="0" t="s">
        <v>319</v>
      </c>
      <c r="E659" s="0" t="s">
        <v>448</v>
      </c>
      <c r="F659" s="0" t="s">
        <v>141</v>
      </c>
      <c r="G659" s="0" t="s">
        <v>297</v>
      </c>
      <c r="H659" s="6" t="n">
        <f aca="false">'Import-dataset'!BO11</f>
        <v>2249</v>
      </c>
    </row>
    <row r="660" customFormat="false" ht="15" hidden="false" customHeight="false" outlineLevel="0" collapsed="false">
      <c r="A660" s="0" t="s">
        <v>231</v>
      </c>
      <c r="B660" s="0" t="n">
        <v>2024</v>
      </c>
      <c r="C660" s="0" t="s">
        <v>447</v>
      </c>
      <c r="D660" s="0" t="s">
        <v>319</v>
      </c>
      <c r="E660" s="0" t="s">
        <v>448</v>
      </c>
      <c r="F660" s="0" t="s">
        <v>141</v>
      </c>
      <c r="G660" s="0" t="s">
        <v>297</v>
      </c>
      <c r="H660" s="6" t="n">
        <f aca="false">'Import-dataset'!BO12</f>
        <v>2216</v>
      </c>
    </row>
    <row r="661" customFormat="false" ht="15" hidden="false" customHeight="false" outlineLevel="0" collapsed="false">
      <c r="A661" s="0" t="s">
        <v>231</v>
      </c>
      <c r="B661" s="0" t="n">
        <v>2025</v>
      </c>
      <c r="C661" s="0" t="s">
        <v>447</v>
      </c>
      <c r="D661" s="0" t="s">
        <v>319</v>
      </c>
      <c r="E661" s="0" t="s">
        <v>448</v>
      </c>
      <c r="F661" s="0" t="s">
        <v>141</v>
      </c>
      <c r="G661" s="0" t="s">
        <v>297</v>
      </c>
      <c r="H661" s="6" t="n">
        <f aca="false">'Import-dataset'!BO13</f>
        <v>2225</v>
      </c>
    </row>
    <row r="662" customFormat="false" ht="15" hidden="false" customHeight="false" outlineLevel="0" collapsed="false">
      <c r="A662" s="0" t="s">
        <v>231</v>
      </c>
      <c r="B662" s="0" t="n">
        <v>2016</v>
      </c>
      <c r="C662" s="0" t="s">
        <v>449</v>
      </c>
      <c r="D662" s="0" t="s">
        <v>319</v>
      </c>
      <c r="E662" s="0" t="s">
        <v>450</v>
      </c>
      <c r="F662" s="0" t="s">
        <v>141</v>
      </c>
      <c r="G662" s="0" t="s">
        <v>298</v>
      </c>
      <c r="H662" s="6" t="n">
        <f aca="false">'Import-dataset'!BP4</f>
        <v>8611</v>
      </c>
    </row>
    <row r="663" customFormat="false" ht="15" hidden="false" customHeight="false" outlineLevel="0" collapsed="false">
      <c r="A663" s="0" t="s">
        <v>231</v>
      </c>
      <c r="B663" s="0" t="n">
        <v>2017</v>
      </c>
      <c r="C663" s="0" t="s">
        <v>449</v>
      </c>
      <c r="D663" s="0" t="s">
        <v>319</v>
      </c>
      <c r="E663" s="0" t="s">
        <v>450</v>
      </c>
      <c r="F663" s="0" t="s">
        <v>141</v>
      </c>
      <c r="G663" s="0" t="s">
        <v>298</v>
      </c>
      <c r="H663" s="6" t="n">
        <f aca="false">'Import-dataset'!BP5</f>
        <v>8736</v>
      </c>
    </row>
    <row r="664" customFormat="false" ht="15" hidden="false" customHeight="false" outlineLevel="0" collapsed="false">
      <c r="A664" s="0" t="s">
        <v>231</v>
      </c>
      <c r="B664" s="0" t="n">
        <v>2018</v>
      </c>
      <c r="C664" s="0" t="s">
        <v>449</v>
      </c>
      <c r="D664" s="0" t="s">
        <v>319</v>
      </c>
      <c r="E664" s="0" t="s">
        <v>450</v>
      </c>
      <c r="F664" s="0" t="s">
        <v>141</v>
      </c>
      <c r="G664" s="0" t="s">
        <v>298</v>
      </c>
      <c r="H664" s="6" t="n">
        <f aca="false">'Import-dataset'!BP6</f>
        <v>9479</v>
      </c>
    </row>
    <row r="665" customFormat="false" ht="15" hidden="false" customHeight="false" outlineLevel="0" collapsed="false">
      <c r="A665" s="0" t="s">
        <v>231</v>
      </c>
      <c r="B665" s="0" t="n">
        <v>2019</v>
      </c>
      <c r="C665" s="0" t="s">
        <v>449</v>
      </c>
      <c r="D665" s="0" t="s">
        <v>319</v>
      </c>
      <c r="E665" s="0" t="s">
        <v>450</v>
      </c>
      <c r="F665" s="0" t="s">
        <v>141</v>
      </c>
      <c r="G665" s="0" t="s">
        <v>298</v>
      </c>
      <c r="H665" s="6" t="n">
        <f aca="false">'Import-dataset'!BP7</f>
        <v>10205</v>
      </c>
    </row>
    <row r="666" customFormat="false" ht="15" hidden="false" customHeight="false" outlineLevel="0" collapsed="false">
      <c r="A666" s="0" t="s">
        <v>231</v>
      </c>
      <c r="B666" s="0" t="n">
        <v>2020</v>
      </c>
      <c r="C666" s="0" t="s">
        <v>449</v>
      </c>
      <c r="D666" s="0" t="s">
        <v>319</v>
      </c>
      <c r="E666" s="0" t="s">
        <v>450</v>
      </c>
      <c r="F666" s="0" t="s">
        <v>141</v>
      </c>
      <c r="G666" s="0" t="s">
        <v>298</v>
      </c>
      <c r="H666" s="6" t="n">
        <f aca="false">'Import-dataset'!BP8</f>
        <v>10186</v>
      </c>
    </row>
    <row r="667" customFormat="false" ht="15" hidden="false" customHeight="false" outlineLevel="0" collapsed="false">
      <c r="A667" s="0" t="s">
        <v>231</v>
      </c>
      <c r="B667" s="0" t="n">
        <v>2021</v>
      </c>
      <c r="C667" s="0" t="s">
        <v>449</v>
      </c>
      <c r="D667" s="0" t="s">
        <v>319</v>
      </c>
      <c r="E667" s="0" t="s">
        <v>450</v>
      </c>
      <c r="F667" s="0" t="s">
        <v>141</v>
      </c>
      <c r="G667" s="0" t="s">
        <v>298</v>
      </c>
      <c r="H667" s="6" t="n">
        <f aca="false">'Import-dataset'!BP9</f>
        <v>10984</v>
      </c>
    </row>
    <row r="668" customFormat="false" ht="15" hidden="false" customHeight="false" outlineLevel="0" collapsed="false">
      <c r="A668" s="0" t="s">
        <v>231</v>
      </c>
      <c r="B668" s="0" t="n">
        <v>2022</v>
      </c>
      <c r="C668" s="0" t="s">
        <v>449</v>
      </c>
      <c r="D668" s="0" t="s">
        <v>319</v>
      </c>
      <c r="E668" s="0" t="s">
        <v>450</v>
      </c>
      <c r="F668" s="0" t="s">
        <v>141</v>
      </c>
      <c r="G668" s="0" t="s">
        <v>298</v>
      </c>
      <c r="H668" s="6" t="n">
        <f aca="false">'Import-dataset'!BP10</f>
        <v>12829</v>
      </c>
    </row>
    <row r="669" customFormat="false" ht="15" hidden="false" customHeight="false" outlineLevel="0" collapsed="false">
      <c r="A669" s="0" t="s">
        <v>231</v>
      </c>
      <c r="B669" s="0" t="n">
        <v>2023</v>
      </c>
      <c r="C669" s="0" t="s">
        <v>449</v>
      </c>
      <c r="D669" s="0" t="s">
        <v>319</v>
      </c>
      <c r="E669" s="0" t="s">
        <v>450</v>
      </c>
      <c r="F669" s="0" t="s">
        <v>141</v>
      </c>
      <c r="G669" s="0" t="s">
        <v>298</v>
      </c>
      <c r="H669" s="6" t="n">
        <f aca="false">'Import-dataset'!BP11</f>
        <v>12165</v>
      </c>
    </row>
    <row r="670" customFormat="false" ht="15" hidden="false" customHeight="false" outlineLevel="0" collapsed="false">
      <c r="A670" s="0" t="s">
        <v>231</v>
      </c>
      <c r="B670" s="0" t="n">
        <v>2024</v>
      </c>
      <c r="C670" s="0" t="s">
        <v>449</v>
      </c>
      <c r="D670" s="0" t="s">
        <v>319</v>
      </c>
      <c r="E670" s="0" t="s">
        <v>450</v>
      </c>
      <c r="F670" s="0" t="s">
        <v>141</v>
      </c>
      <c r="G670" s="0" t="s">
        <v>298</v>
      </c>
      <c r="H670" s="6" t="n">
        <f aca="false">'Import-dataset'!BP12</f>
        <v>12814</v>
      </c>
    </row>
    <row r="671" customFormat="false" ht="15" hidden="false" customHeight="false" outlineLevel="0" collapsed="false">
      <c r="A671" s="0" t="s">
        <v>231</v>
      </c>
      <c r="B671" s="0" t="n">
        <v>2025</v>
      </c>
      <c r="C671" s="0" t="s">
        <v>449</v>
      </c>
      <c r="D671" s="0" t="s">
        <v>319</v>
      </c>
      <c r="E671" s="0" t="s">
        <v>450</v>
      </c>
      <c r="F671" s="0" t="s">
        <v>141</v>
      </c>
      <c r="G671" s="0" t="s">
        <v>298</v>
      </c>
      <c r="H671" s="6" t="n">
        <f aca="false">'Import-dataset'!BP13</f>
        <v>13100</v>
      </c>
    </row>
    <row r="672" customFormat="false" ht="15" hidden="false" customHeight="false" outlineLevel="0" collapsed="false">
      <c r="A672" s="0" t="s">
        <v>231</v>
      </c>
      <c r="B672" s="0" t="n">
        <v>2016</v>
      </c>
      <c r="C672" s="0" t="s">
        <v>451</v>
      </c>
      <c r="D672" s="0" t="s">
        <v>319</v>
      </c>
      <c r="E672" s="0" t="s">
        <v>452</v>
      </c>
      <c r="F672" s="0" t="s">
        <v>141</v>
      </c>
      <c r="G672" s="0" t="s">
        <v>299</v>
      </c>
      <c r="H672" s="6" t="n">
        <f aca="false">'Import-dataset'!BQ4</f>
        <v>2202</v>
      </c>
    </row>
    <row r="673" customFormat="false" ht="15" hidden="false" customHeight="false" outlineLevel="0" collapsed="false">
      <c r="A673" s="0" t="s">
        <v>231</v>
      </c>
      <c r="B673" s="0" t="n">
        <v>2017</v>
      </c>
      <c r="C673" s="0" t="s">
        <v>451</v>
      </c>
      <c r="D673" s="0" t="s">
        <v>319</v>
      </c>
      <c r="E673" s="0" t="s">
        <v>452</v>
      </c>
      <c r="F673" s="0" t="s">
        <v>141</v>
      </c>
      <c r="G673" s="0" t="s">
        <v>299</v>
      </c>
      <c r="H673" s="6" t="n">
        <f aca="false">'Import-dataset'!BQ5</f>
        <v>2177</v>
      </c>
    </row>
    <row r="674" customFormat="false" ht="15" hidden="false" customHeight="false" outlineLevel="0" collapsed="false">
      <c r="A674" s="0" t="s">
        <v>231</v>
      </c>
      <c r="B674" s="0" t="n">
        <v>2018</v>
      </c>
      <c r="C674" s="0" t="s">
        <v>451</v>
      </c>
      <c r="D674" s="0" t="s">
        <v>319</v>
      </c>
      <c r="E674" s="0" t="s">
        <v>452</v>
      </c>
      <c r="F674" s="0" t="s">
        <v>141</v>
      </c>
      <c r="G674" s="0" t="s">
        <v>299</v>
      </c>
      <c r="H674" s="6" t="n">
        <f aca="false">'Import-dataset'!BQ6</f>
        <v>2324</v>
      </c>
    </row>
    <row r="675" customFormat="false" ht="15" hidden="false" customHeight="false" outlineLevel="0" collapsed="false">
      <c r="A675" s="0" t="s">
        <v>231</v>
      </c>
      <c r="B675" s="0" t="n">
        <v>2019</v>
      </c>
      <c r="C675" s="0" t="s">
        <v>451</v>
      </c>
      <c r="D675" s="0" t="s">
        <v>319</v>
      </c>
      <c r="E675" s="0" t="s">
        <v>452</v>
      </c>
      <c r="F675" s="0" t="s">
        <v>141</v>
      </c>
      <c r="G675" s="0" t="s">
        <v>299</v>
      </c>
      <c r="H675" s="6" t="n">
        <f aca="false">'Import-dataset'!BQ7</f>
        <v>2564</v>
      </c>
    </row>
    <row r="676" customFormat="false" ht="15" hidden="false" customHeight="false" outlineLevel="0" collapsed="false">
      <c r="A676" s="0" t="s">
        <v>231</v>
      </c>
      <c r="B676" s="0" t="n">
        <v>2020</v>
      </c>
      <c r="C676" s="0" t="s">
        <v>451</v>
      </c>
      <c r="D676" s="0" t="s">
        <v>319</v>
      </c>
      <c r="E676" s="0" t="s">
        <v>452</v>
      </c>
      <c r="F676" s="0" t="s">
        <v>141</v>
      </c>
      <c r="G676" s="0" t="s">
        <v>299</v>
      </c>
      <c r="H676" s="6" t="n">
        <f aca="false">'Import-dataset'!BQ8</f>
        <v>2107</v>
      </c>
    </row>
    <row r="677" customFormat="false" ht="15" hidden="false" customHeight="false" outlineLevel="0" collapsed="false">
      <c r="A677" s="0" t="s">
        <v>231</v>
      </c>
      <c r="B677" s="0" t="n">
        <v>2021</v>
      </c>
      <c r="C677" s="0" t="s">
        <v>451</v>
      </c>
      <c r="D677" s="0" t="s">
        <v>319</v>
      </c>
      <c r="E677" s="0" t="s">
        <v>452</v>
      </c>
      <c r="F677" s="0" t="s">
        <v>141</v>
      </c>
      <c r="G677" s="0" t="s">
        <v>299</v>
      </c>
      <c r="H677" s="6" t="n">
        <f aca="false">'Import-dataset'!BQ9</f>
        <v>2411</v>
      </c>
    </row>
    <row r="678" customFormat="false" ht="15" hidden="false" customHeight="false" outlineLevel="0" collapsed="false">
      <c r="A678" s="0" t="s">
        <v>231</v>
      </c>
      <c r="B678" s="0" t="n">
        <v>2022</v>
      </c>
      <c r="C678" s="0" t="s">
        <v>451</v>
      </c>
      <c r="D678" s="0" t="s">
        <v>319</v>
      </c>
      <c r="E678" s="0" t="s">
        <v>452</v>
      </c>
      <c r="F678" s="0" t="s">
        <v>141</v>
      </c>
      <c r="G678" s="0" t="s">
        <v>299</v>
      </c>
      <c r="H678" s="6" t="n">
        <f aca="false">'Import-dataset'!BQ10</f>
        <v>3104</v>
      </c>
    </row>
    <row r="679" customFormat="false" ht="15" hidden="false" customHeight="false" outlineLevel="0" collapsed="false">
      <c r="A679" s="0" t="s">
        <v>231</v>
      </c>
      <c r="B679" s="0" t="n">
        <v>2023</v>
      </c>
      <c r="C679" s="0" t="s">
        <v>451</v>
      </c>
      <c r="D679" s="0" t="s">
        <v>319</v>
      </c>
      <c r="E679" s="0" t="s">
        <v>452</v>
      </c>
      <c r="F679" s="0" t="s">
        <v>141</v>
      </c>
      <c r="G679" s="0" t="s">
        <v>299</v>
      </c>
      <c r="H679" s="6" t="n">
        <f aca="false">'Import-dataset'!BQ11</f>
        <v>2886</v>
      </c>
    </row>
    <row r="680" customFormat="false" ht="15" hidden="false" customHeight="false" outlineLevel="0" collapsed="false">
      <c r="A680" s="0" t="s">
        <v>231</v>
      </c>
      <c r="B680" s="0" t="n">
        <v>2024</v>
      </c>
      <c r="C680" s="0" t="s">
        <v>451</v>
      </c>
      <c r="D680" s="0" t="s">
        <v>319</v>
      </c>
      <c r="E680" s="0" t="s">
        <v>452</v>
      </c>
      <c r="F680" s="0" t="s">
        <v>141</v>
      </c>
      <c r="G680" s="0" t="s">
        <v>299</v>
      </c>
      <c r="H680" s="6" t="n">
        <f aca="false">'Import-dataset'!BQ12</f>
        <v>2948</v>
      </c>
    </row>
    <row r="681" customFormat="false" ht="15" hidden="false" customHeight="false" outlineLevel="0" collapsed="false">
      <c r="A681" s="0" t="s">
        <v>231</v>
      </c>
      <c r="B681" s="0" t="n">
        <v>2025</v>
      </c>
      <c r="C681" s="0" t="s">
        <v>451</v>
      </c>
      <c r="D681" s="0" t="s">
        <v>319</v>
      </c>
      <c r="E681" s="0" t="s">
        <v>452</v>
      </c>
      <c r="F681" s="0" t="s">
        <v>141</v>
      </c>
      <c r="G681" s="0" t="s">
        <v>299</v>
      </c>
      <c r="H681" s="6" t="n">
        <f aca="false">'Import-dataset'!BQ13</f>
        <v>3120</v>
      </c>
    </row>
    <row r="682" customFormat="false" ht="15" hidden="false" customHeight="false" outlineLevel="0" collapsed="false">
      <c r="A682" s="0" t="s">
        <v>231</v>
      </c>
      <c r="B682" s="0" t="n">
        <v>2016</v>
      </c>
      <c r="C682" s="0" t="s">
        <v>453</v>
      </c>
      <c r="D682" s="0" t="s">
        <v>319</v>
      </c>
      <c r="E682" s="0" t="s">
        <v>454</v>
      </c>
      <c r="F682" s="0" t="s">
        <v>141</v>
      </c>
      <c r="G682" s="0" t="s">
        <v>300</v>
      </c>
      <c r="H682" s="6" t="n">
        <f aca="false">'Import-dataset'!BR4</f>
        <v>6756</v>
      </c>
    </row>
    <row r="683" customFormat="false" ht="15" hidden="false" customHeight="false" outlineLevel="0" collapsed="false">
      <c r="A683" s="0" t="s">
        <v>231</v>
      </c>
      <c r="B683" s="0" t="n">
        <v>2017</v>
      </c>
      <c r="C683" s="0" t="s">
        <v>453</v>
      </c>
      <c r="D683" s="0" t="s">
        <v>319</v>
      </c>
      <c r="E683" s="0" t="s">
        <v>454</v>
      </c>
      <c r="F683" s="0" t="s">
        <v>141</v>
      </c>
      <c r="G683" s="0" t="s">
        <v>300</v>
      </c>
      <c r="H683" s="6" t="n">
        <f aca="false">'Import-dataset'!BR5</f>
        <v>6544</v>
      </c>
    </row>
    <row r="684" customFormat="false" ht="15" hidden="false" customHeight="false" outlineLevel="0" collapsed="false">
      <c r="A684" s="0" t="s">
        <v>231</v>
      </c>
      <c r="B684" s="0" t="n">
        <v>2018</v>
      </c>
      <c r="C684" s="0" t="s">
        <v>453</v>
      </c>
      <c r="D684" s="0" t="s">
        <v>319</v>
      </c>
      <c r="E684" s="0" t="s">
        <v>454</v>
      </c>
      <c r="F684" s="0" t="s">
        <v>141</v>
      </c>
      <c r="G684" s="0" t="s">
        <v>300</v>
      </c>
      <c r="H684" s="6" t="n">
        <f aca="false">'Import-dataset'!BR6</f>
        <v>7364</v>
      </c>
    </row>
    <row r="685" customFormat="false" ht="15" hidden="false" customHeight="false" outlineLevel="0" collapsed="false">
      <c r="A685" s="0" t="s">
        <v>231</v>
      </c>
      <c r="B685" s="0" t="n">
        <v>2019</v>
      </c>
      <c r="C685" s="0" t="s">
        <v>453</v>
      </c>
      <c r="D685" s="0" t="s">
        <v>319</v>
      </c>
      <c r="E685" s="0" t="s">
        <v>454</v>
      </c>
      <c r="F685" s="0" t="s">
        <v>141</v>
      </c>
      <c r="G685" s="0" t="s">
        <v>300</v>
      </c>
      <c r="H685" s="6" t="n">
        <f aca="false">'Import-dataset'!BR7</f>
        <v>7726</v>
      </c>
    </row>
    <row r="686" customFormat="false" ht="15" hidden="false" customHeight="false" outlineLevel="0" collapsed="false">
      <c r="A686" s="0" t="s">
        <v>231</v>
      </c>
      <c r="B686" s="0" t="n">
        <v>2020</v>
      </c>
      <c r="C686" s="0" t="s">
        <v>453</v>
      </c>
      <c r="D686" s="0" t="s">
        <v>319</v>
      </c>
      <c r="E686" s="0" t="s">
        <v>454</v>
      </c>
      <c r="F686" s="0" t="s">
        <v>141</v>
      </c>
      <c r="G686" s="0" t="s">
        <v>300</v>
      </c>
      <c r="H686" s="6" t="n">
        <f aca="false">'Import-dataset'!BR8</f>
        <v>7758</v>
      </c>
    </row>
    <row r="687" customFormat="false" ht="15" hidden="false" customHeight="false" outlineLevel="0" collapsed="false">
      <c r="A687" s="0" t="s">
        <v>231</v>
      </c>
      <c r="B687" s="0" t="n">
        <v>2021</v>
      </c>
      <c r="C687" s="0" t="s">
        <v>453</v>
      </c>
      <c r="D687" s="0" t="s">
        <v>319</v>
      </c>
      <c r="E687" s="0" t="s">
        <v>454</v>
      </c>
      <c r="F687" s="0" t="s">
        <v>141</v>
      </c>
      <c r="G687" s="0" t="s">
        <v>300</v>
      </c>
      <c r="H687" s="6" t="n">
        <f aca="false">'Import-dataset'!BR9</f>
        <v>8175</v>
      </c>
    </row>
    <row r="688" customFormat="false" ht="15" hidden="false" customHeight="false" outlineLevel="0" collapsed="false">
      <c r="A688" s="0" t="s">
        <v>231</v>
      </c>
      <c r="B688" s="0" t="n">
        <v>2022</v>
      </c>
      <c r="C688" s="0" t="s">
        <v>453</v>
      </c>
      <c r="D688" s="0" t="s">
        <v>319</v>
      </c>
      <c r="E688" s="0" t="s">
        <v>454</v>
      </c>
      <c r="F688" s="0" t="s">
        <v>141</v>
      </c>
      <c r="G688" s="0" t="s">
        <v>300</v>
      </c>
      <c r="H688" s="6" t="n">
        <f aca="false">'Import-dataset'!BR10</f>
        <v>9104</v>
      </c>
    </row>
    <row r="689" customFormat="false" ht="15" hidden="false" customHeight="false" outlineLevel="0" collapsed="false">
      <c r="A689" s="0" t="s">
        <v>231</v>
      </c>
      <c r="B689" s="0" t="n">
        <v>2023</v>
      </c>
      <c r="C689" s="0" t="s">
        <v>453</v>
      </c>
      <c r="D689" s="0" t="s">
        <v>319</v>
      </c>
      <c r="E689" s="0" t="s">
        <v>454</v>
      </c>
      <c r="F689" s="0" t="s">
        <v>141</v>
      </c>
      <c r="G689" s="0" t="s">
        <v>300</v>
      </c>
      <c r="H689" s="6" t="n">
        <f aca="false">'Import-dataset'!BR11</f>
        <v>10010</v>
      </c>
    </row>
    <row r="690" customFormat="false" ht="15" hidden="false" customHeight="false" outlineLevel="0" collapsed="false">
      <c r="A690" s="0" t="s">
        <v>231</v>
      </c>
      <c r="B690" s="0" t="n">
        <v>2024</v>
      </c>
      <c r="C690" s="0" t="s">
        <v>453</v>
      </c>
      <c r="D690" s="0" t="s">
        <v>319</v>
      </c>
      <c r="E690" s="0" t="s">
        <v>454</v>
      </c>
      <c r="F690" s="0" t="s">
        <v>141</v>
      </c>
      <c r="G690" s="0" t="s">
        <v>300</v>
      </c>
      <c r="H690" s="6" t="n">
        <f aca="false">'Import-dataset'!BR12</f>
        <v>10288</v>
      </c>
    </row>
    <row r="691" customFormat="false" ht="15" hidden="false" customHeight="false" outlineLevel="0" collapsed="false">
      <c r="A691" s="0" t="s">
        <v>231</v>
      </c>
      <c r="B691" s="0" t="n">
        <v>2025</v>
      </c>
      <c r="C691" s="0" t="s">
        <v>453</v>
      </c>
      <c r="D691" s="0" t="s">
        <v>319</v>
      </c>
      <c r="E691" s="0" t="s">
        <v>454</v>
      </c>
      <c r="F691" s="0" t="s">
        <v>141</v>
      </c>
      <c r="G691" s="0" t="s">
        <v>300</v>
      </c>
      <c r="H691" s="6" t="n">
        <f aca="false">'Import-dataset'!BR13</f>
        <v>10829</v>
      </c>
    </row>
    <row r="692" customFormat="false" ht="15" hidden="false" customHeight="false" outlineLevel="0" collapsed="false">
      <c r="A692" s="0" t="s">
        <v>231</v>
      </c>
      <c r="B692" s="0" t="n">
        <v>2016</v>
      </c>
      <c r="C692" s="0" t="s">
        <v>455</v>
      </c>
      <c r="D692" s="0" t="s">
        <v>319</v>
      </c>
      <c r="E692" s="0" t="s">
        <v>456</v>
      </c>
      <c r="F692" s="0" t="s">
        <v>141</v>
      </c>
      <c r="G692" s="0" t="s">
        <v>301</v>
      </c>
      <c r="H692" s="6" t="n">
        <f aca="false">'Import-dataset'!BS4</f>
        <v>1853</v>
      </c>
    </row>
    <row r="693" customFormat="false" ht="15" hidden="false" customHeight="false" outlineLevel="0" collapsed="false">
      <c r="A693" s="0" t="s">
        <v>231</v>
      </c>
      <c r="B693" s="0" t="n">
        <v>2017</v>
      </c>
      <c r="C693" s="0" t="s">
        <v>455</v>
      </c>
      <c r="D693" s="0" t="s">
        <v>319</v>
      </c>
      <c r="E693" s="0" t="s">
        <v>456</v>
      </c>
      <c r="F693" s="0" t="s">
        <v>141</v>
      </c>
      <c r="G693" s="0" t="s">
        <v>301</v>
      </c>
      <c r="H693" s="6" t="n">
        <f aca="false">'Import-dataset'!BS5</f>
        <v>1821</v>
      </c>
    </row>
    <row r="694" customFormat="false" ht="15" hidden="false" customHeight="false" outlineLevel="0" collapsed="false">
      <c r="A694" s="0" t="s">
        <v>231</v>
      </c>
      <c r="B694" s="0" t="n">
        <v>2018</v>
      </c>
      <c r="C694" s="0" t="s">
        <v>455</v>
      </c>
      <c r="D694" s="0" t="s">
        <v>319</v>
      </c>
      <c r="E694" s="0" t="s">
        <v>456</v>
      </c>
      <c r="F694" s="0" t="s">
        <v>141</v>
      </c>
      <c r="G694" s="0" t="s">
        <v>301</v>
      </c>
      <c r="H694" s="6" t="n">
        <f aca="false">'Import-dataset'!BS6</f>
        <v>1934</v>
      </c>
    </row>
    <row r="695" customFormat="false" ht="15" hidden="false" customHeight="false" outlineLevel="0" collapsed="false">
      <c r="A695" s="0" t="s">
        <v>231</v>
      </c>
      <c r="B695" s="0" t="n">
        <v>2019</v>
      </c>
      <c r="C695" s="0" t="s">
        <v>455</v>
      </c>
      <c r="D695" s="0" t="s">
        <v>319</v>
      </c>
      <c r="E695" s="0" t="s">
        <v>456</v>
      </c>
      <c r="F695" s="0" t="s">
        <v>141</v>
      </c>
      <c r="G695" s="0" t="s">
        <v>301</v>
      </c>
      <c r="H695" s="6" t="n">
        <f aca="false">'Import-dataset'!BS7</f>
        <v>2078</v>
      </c>
    </row>
    <row r="696" customFormat="false" ht="15" hidden="false" customHeight="false" outlineLevel="0" collapsed="false">
      <c r="A696" s="0" t="s">
        <v>231</v>
      </c>
      <c r="B696" s="0" t="n">
        <v>2020</v>
      </c>
      <c r="C696" s="0" t="s">
        <v>455</v>
      </c>
      <c r="D696" s="0" t="s">
        <v>319</v>
      </c>
      <c r="E696" s="0" t="s">
        <v>456</v>
      </c>
      <c r="F696" s="0" t="s">
        <v>141</v>
      </c>
      <c r="G696" s="0" t="s">
        <v>301</v>
      </c>
      <c r="H696" s="6" t="n">
        <f aca="false">'Import-dataset'!BS8</f>
        <v>1879</v>
      </c>
    </row>
    <row r="697" customFormat="false" ht="15" hidden="false" customHeight="false" outlineLevel="0" collapsed="false">
      <c r="A697" s="0" t="s">
        <v>231</v>
      </c>
      <c r="B697" s="0" t="n">
        <v>2021</v>
      </c>
      <c r="C697" s="0" t="s">
        <v>455</v>
      </c>
      <c r="D697" s="0" t="s">
        <v>319</v>
      </c>
      <c r="E697" s="0" t="s">
        <v>456</v>
      </c>
      <c r="F697" s="0" t="s">
        <v>141</v>
      </c>
      <c r="G697" s="0" t="s">
        <v>301</v>
      </c>
      <c r="H697" s="6" t="n">
        <f aca="false">'Import-dataset'!BS9</f>
        <v>2067</v>
      </c>
    </row>
    <row r="698" customFormat="false" ht="15" hidden="false" customHeight="false" outlineLevel="0" collapsed="false">
      <c r="A698" s="0" t="s">
        <v>231</v>
      </c>
      <c r="B698" s="0" t="n">
        <v>2022</v>
      </c>
      <c r="C698" s="0" t="s">
        <v>455</v>
      </c>
      <c r="D698" s="0" t="s">
        <v>319</v>
      </c>
      <c r="E698" s="0" t="s">
        <v>456</v>
      </c>
      <c r="F698" s="0" t="s">
        <v>141</v>
      </c>
      <c r="G698" s="0" t="s">
        <v>301</v>
      </c>
      <c r="H698" s="6" t="n">
        <f aca="false">'Import-dataset'!BS10</f>
        <v>2481</v>
      </c>
    </row>
    <row r="699" customFormat="false" ht="15" hidden="false" customHeight="false" outlineLevel="0" collapsed="false">
      <c r="A699" s="0" t="s">
        <v>231</v>
      </c>
      <c r="B699" s="0" t="n">
        <v>2023</v>
      </c>
      <c r="C699" s="0" t="s">
        <v>455</v>
      </c>
      <c r="D699" s="0" t="s">
        <v>319</v>
      </c>
      <c r="E699" s="0" t="s">
        <v>456</v>
      </c>
      <c r="F699" s="0" t="s">
        <v>141</v>
      </c>
      <c r="G699" s="0" t="s">
        <v>301</v>
      </c>
      <c r="H699" s="6" t="n">
        <f aca="false">'Import-dataset'!BS11</f>
        <v>2601</v>
      </c>
    </row>
    <row r="700" customFormat="false" ht="15" hidden="false" customHeight="false" outlineLevel="0" collapsed="false">
      <c r="A700" s="0" t="s">
        <v>231</v>
      </c>
      <c r="B700" s="0" t="n">
        <v>2024</v>
      </c>
      <c r="C700" s="0" t="s">
        <v>455</v>
      </c>
      <c r="D700" s="0" t="s">
        <v>319</v>
      </c>
      <c r="E700" s="0" t="s">
        <v>456</v>
      </c>
      <c r="F700" s="0" t="s">
        <v>141</v>
      </c>
      <c r="G700" s="0" t="s">
        <v>301</v>
      </c>
      <c r="H700" s="6" t="n">
        <f aca="false">'Import-dataset'!BS12</f>
        <v>2713</v>
      </c>
    </row>
    <row r="701" customFormat="false" ht="15" hidden="false" customHeight="false" outlineLevel="0" collapsed="false">
      <c r="A701" s="0" t="s">
        <v>231</v>
      </c>
      <c r="B701" s="0" t="n">
        <v>2025</v>
      </c>
      <c r="C701" s="0" t="s">
        <v>455</v>
      </c>
      <c r="D701" s="0" t="s">
        <v>319</v>
      </c>
      <c r="E701" s="0" t="s">
        <v>456</v>
      </c>
      <c r="F701" s="0" t="s">
        <v>141</v>
      </c>
      <c r="G701" s="0" t="s">
        <v>301</v>
      </c>
      <c r="H701" s="6" t="n">
        <f aca="false">'Import-dataset'!BS13</f>
        <v>2808</v>
      </c>
    </row>
    <row r="702" customFormat="false" ht="15" hidden="false" customHeight="false" outlineLevel="0" collapsed="false">
      <c r="A702" s="0" t="s">
        <v>231</v>
      </c>
      <c r="B702" s="0" t="n">
        <v>2016</v>
      </c>
      <c r="C702" s="0" t="s">
        <v>457</v>
      </c>
      <c r="D702" s="0" t="s">
        <v>319</v>
      </c>
      <c r="E702" s="0" t="s">
        <v>458</v>
      </c>
      <c r="F702" s="0" t="s">
        <v>141</v>
      </c>
      <c r="G702" s="0" t="s">
        <v>302</v>
      </c>
      <c r="H702" s="6" t="n">
        <f aca="false">'Import-dataset'!BT4</f>
        <v>13547</v>
      </c>
    </row>
    <row r="703" customFormat="false" ht="15" hidden="false" customHeight="false" outlineLevel="0" collapsed="false">
      <c r="A703" s="0" t="s">
        <v>231</v>
      </c>
      <c r="B703" s="0" t="n">
        <v>2017</v>
      </c>
      <c r="C703" s="0" t="s">
        <v>457</v>
      </c>
      <c r="D703" s="0" t="s">
        <v>319</v>
      </c>
      <c r="E703" s="0" t="s">
        <v>458</v>
      </c>
      <c r="F703" s="0" t="s">
        <v>141</v>
      </c>
      <c r="G703" s="0" t="s">
        <v>302</v>
      </c>
      <c r="H703" s="6" t="n">
        <f aca="false">'Import-dataset'!BT5</f>
        <v>13867</v>
      </c>
    </row>
    <row r="704" customFormat="false" ht="15" hidden="false" customHeight="false" outlineLevel="0" collapsed="false">
      <c r="A704" s="0" t="s">
        <v>231</v>
      </c>
      <c r="B704" s="0" t="n">
        <v>2018</v>
      </c>
      <c r="C704" s="0" t="s">
        <v>457</v>
      </c>
      <c r="D704" s="0" t="s">
        <v>319</v>
      </c>
      <c r="E704" s="0" t="s">
        <v>458</v>
      </c>
      <c r="F704" s="0" t="s">
        <v>141</v>
      </c>
      <c r="G704" s="0" t="s">
        <v>302</v>
      </c>
      <c r="H704" s="6" t="n">
        <f aca="false">'Import-dataset'!BT6</f>
        <v>14691</v>
      </c>
    </row>
    <row r="705" customFormat="false" ht="15" hidden="false" customHeight="false" outlineLevel="0" collapsed="false">
      <c r="A705" s="0" t="s">
        <v>231</v>
      </c>
      <c r="B705" s="0" t="n">
        <v>2019</v>
      </c>
      <c r="C705" s="0" t="s">
        <v>457</v>
      </c>
      <c r="D705" s="0" t="s">
        <v>319</v>
      </c>
      <c r="E705" s="0" t="s">
        <v>458</v>
      </c>
      <c r="F705" s="0" t="s">
        <v>141</v>
      </c>
      <c r="G705" s="0" t="s">
        <v>302</v>
      </c>
      <c r="H705" s="6" t="n">
        <f aca="false">'Import-dataset'!BT7</f>
        <v>15133</v>
      </c>
    </row>
    <row r="706" customFormat="false" ht="15" hidden="false" customHeight="false" outlineLevel="0" collapsed="false">
      <c r="A706" s="0" t="s">
        <v>231</v>
      </c>
      <c r="B706" s="0" t="n">
        <v>2020</v>
      </c>
      <c r="C706" s="0" t="s">
        <v>457</v>
      </c>
      <c r="D706" s="0" t="s">
        <v>319</v>
      </c>
      <c r="E706" s="0" t="s">
        <v>458</v>
      </c>
      <c r="F706" s="0" t="s">
        <v>141</v>
      </c>
      <c r="G706" s="0" t="s">
        <v>302</v>
      </c>
      <c r="H706" s="6" t="n">
        <f aca="false">'Import-dataset'!BT8</f>
        <v>15649</v>
      </c>
    </row>
    <row r="707" customFormat="false" ht="15" hidden="false" customHeight="false" outlineLevel="0" collapsed="false">
      <c r="A707" s="0" t="s">
        <v>231</v>
      </c>
      <c r="B707" s="0" t="n">
        <v>2021</v>
      </c>
      <c r="C707" s="0" t="s">
        <v>457</v>
      </c>
      <c r="D707" s="0" t="s">
        <v>319</v>
      </c>
      <c r="E707" s="0" t="s">
        <v>458</v>
      </c>
      <c r="F707" s="0" t="s">
        <v>141</v>
      </c>
      <c r="G707" s="0" t="s">
        <v>302</v>
      </c>
      <c r="H707" s="6" t="n">
        <f aca="false">'Import-dataset'!BT9</f>
        <v>17260</v>
      </c>
    </row>
    <row r="708" customFormat="false" ht="15" hidden="false" customHeight="false" outlineLevel="0" collapsed="false">
      <c r="A708" s="0" t="s">
        <v>231</v>
      </c>
      <c r="B708" s="0" t="n">
        <v>2022</v>
      </c>
      <c r="C708" s="0" t="s">
        <v>457</v>
      </c>
      <c r="D708" s="0" t="s">
        <v>319</v>
      </c>
      <c r="E708" s="0" t="s">
        <v>458</v>
      </c>
      <c r="F708" s="0" t="s">
        <v>141</v>
      </c>
      <c r="G708" s="0" t="s">
        <v>302</v>
      </c>
      <c r="H708" s="6" t="n">
        <f aca="false">'Import-dataset'!BT10</f>
        <v>19352</v>
      </c>
    </row>
    <row r="709" customFormat="false" ht="15" hidden="false" customHeight="false" outlineLevel="0" collapsed="false">
      <c r="A709" s="0" t="s">
        <v>231</v>
      </c>
      <c r="B709" s="0" t="n">
        <v>2023</v>
      </c>
      <c r="C709" s="0" t="s">
        <v>457</v>
      </c>
      <c r="D709" s="0" t="s">
        <v>319</v>
      </c>
      <c r="E709" s="0" t="s">
        <v>458</v>
      </c>
      <c r="F709" s="0" t="s">
        <v>141</v>
      </c>
      <c r="G709" s="0" t="s">
        <v>302</v>
      </c>
      <c r="H709" s="6" t="n">
        <f aca="false">'Import-dataset'!BT11</f>
        <v>18494</v>
      </c>
    </row>
    <row r="710" customFormat="false" ht="15" hidden="false" customHeight="false" outlineLevel="0" collapsed="false">
      <c r="A710" s="0" t="s">
        <v>231</v>
      </c>
      <c r="B710" s="0" t="n">
        <v>2024</v>
      </c>
      <c r="C710" s="0" t="s">
        <v>457</v>
      </c>
      <c r="D710" s="0" t="s">
        <v>319</v>
      </c>
      <c r="E710" s="0" t="s">
        <v>458</v>
      </c>
      <c r="F710" s="0" t="s">
        <v>141</v>
      </c>
      <c r="G710" s="0" t="s">
        <v>302</v>
      </c>
      <c r="H710" s="6" t="n">
        <f aca="false">'Import-dataset'!BT12</f>
        <v>20362</v>
      </c>
    </row>
    <row r="711" customFormat="false" ht="15" hidden="false" customHeight="false" outlineLevel="0" collapsed="false">
      <c r="A711" s="0" t="s">
        <v>231</v>
      </c>
      <c r="B711" s="0" t="n">
        <v>2025</v>
      </c>
      <c r="C711" s="0" t="s">
        <v>457</v>
      </c>
      <c r="D711" s="0" t="s">
        <v>319</v>
      </c>
      <c r="E711" s="0" t="s">
        <v>458</v>
      </c>
      <c r="F711" s="0" t="s">
        <v>141</v>
      </c>
      <c r="G711" s="0" t="s">
        <v>302</v>
      </c>
      <c r="H711" s="6" t="n">
        <f aca="false">'Import-dataset'!BT13</f>
        <v>22590</v>
      </c>
    </row>
    <row r="712" customFormat="false" ht="15" hidden="false" customHeight="false" outlineLevel="0" collapsed="false">
      <c r="A712" s="0" t="s">
        <v>231</v>
      </c>
      <c r="B712" s="0" t="n">
        <v>2016</v>
      </c>
      <c r="C712" s="0" t="s">
        <v>459</v>
      </c>
      <c r="D712" s="0" t="s">
        <v>316</v>
      </c>
      <c r="E712" s="0" t="s">
        <v>460</v>
      </c>
      <c r="F712" s="0" t="s">
        <v>141</v>
      </c>
      <c r="G712" s="0" t="s">
        <v>303</v>
      </c>
      <c r="H712" s="6" t="n">
        <f aca="false">'Import-dataset'!BU4</f>
        <v>9962</v>
      </c>
    </row>
    <row r="713" customFormat="false" ht="15" hidden="false" customHeight="false" outlineLevel="0" collapsed="false">
      <c r="A713" s="0" t="s">
        <v>231</v>
      </c>
      <c r="B713" s="0" t="n">
        <v>2017</v>
      </c>
      <c r="C713" s="0" t="s">
        <v>459</v>
      </c>
      <c r="D713" s="0" t="s">
        <v>316</v>
      </c>
      <c r="E713" s="0" t="s">
        <v>460</v>
      </c>
      <c r="F713" s="0" t="s">
        <v>141</v>
      </c>
      <c r="G713" s="0" t="s">
        <v>303</v>
      </c>
      <c r="H713" s="6" t="n">
        <f aca="false">'Import-dataset'!BU5</f>
        <v>21397</v>
      </c>
    </row>
    <row r="714" customFormat="false" ht="15" hidden="false" customHeight="false" outlineLevel="0" collapsed="false">
      <c r="A714" s="0" t="s">
        <v>231</v>
      </c>
      <c r="B714" s="0" t="n">
        <v>2018</v>
      </c>
      <c r="C714" s="0" t="s">
        <v>459</v>
      </c>
      <c r="D714" s="0" t="s">
        <v>316</v>
      </c>
      <c r="E714" s="0" t="s">
        <v>460</v>
      </c>
      <c r="F714" s="0" t="s">
        <v>141</v>
      </c>
      <c r="G714" s="0" t="s">
        <v>303</v>
      </c>
      <c r="H714" s="6" t="n">
        <f aca="false">'Import-dataset'!BU6</f>
        <v>12140</v>
      </c>
    </row>
    <row r="715" customFormat="false" ht="15" hidden="false" customHeight="false" outlineLevel="0" collapsed="false">
      <c r="A715" s="0" t="s">
        <v>231</v>
      </c>
      <c r="B715" s="0" t="n">
        <v>2019</v>
      </c>
      <c r="C715" s="0" t="s">
        <v>459</v>
      </c>
      <c r="D715" s="0" t="s">
        <v>316</v>
      </c>
      <c r="E715" s="0" t="s">
        <v>460</v>
      </c>
      <c r="F715" s="0" t="s">
        <v>141</v>
      </c>
      <c r="G715" s="0" t="s">
        <v>303</v>
      </c>
      <c r="H715" s="6" t="n">
        <f aca="false">'Import-dataset'!BU7</f>
        <v>11251</v>
      </c>
    </row>
    <row r="716" customFormat="false" ht="15" hidden="false" customHeight="false" outlineLevel="0" collapsed="false">
      <c r="A716" s="0" t="s">
        <v>231</v>
      </c>
      <c r="B716" s="0" t="n">
        <v>2020</v>
      </c>
      <c r="C716" s="0" t="s">
        <v>459</v>
      </c>
      <c r="D716" s="0" t="s">
        <v>316</v>
      </c>
      <c r="E716" s="0" t="s">
        <v>460</v>
      </c>
      <c r="F716" s="0" t="s">
        <v>141</v>
      </c>
      <c r="G716" s="0" t="s">
        <v>303</v>
      </c>
      <c r="H716" s="6" t="n">
        <f aca="false">'Import-dataset'!BU8</f>
        <v>11914</v>
      </c>
    </row>
    <row r="717" customFormat="false" ht="15" hidden="false" customHeight="false" outlineLevel="0" collapsed="false">
      <c r="A717" s="0" t="s">
        <v>231</v>
      </c>
      <c r="B717" s="0" t="n">
        <v>2021</v>
      </c>
      <c r="C717" s="0" t="s">
        <v>459</v>
      </c>
      <c r="D717" s="0" t="s">
        <v>316</v>
      </c>
      <c r="E717" s="0" t="s">
        <v>460</v>
      </c>
      <c r="F717" s="0" t="s">
        <v>141</v>
      </c>
      <c r="G717" s="0" t="s">
        <v>303</v>
      </c>
      <c r="H717" s="6" t="n">
        <f aca="false">'Import-dataset'!BU9</f>
        <v>11211</v>
      </c>
    </row>
    <row r="718" customFormat="false" ht="15" hidden="false" customHeight="false" outlineLevel="0" collapsed="false">
      <c r="A718" s="0" t="s">
        <v>231</v>
      </c>
      <c r="B718" s="0" t="n">
        <v>2022</v>
      </c>
      <c r="C718" s="0" t="s">
        <v>459</v>
      </c>
      <c r="D718" s="0" t="s">
        <v>316</v>
      </c>
      <c r="E718" s="0" t="s">
        <v>460</v>
      </c>
      <c r="F718" s="0" t="s">
        <v>141</v>
      </c>
      <c r="G718" s="0" t="s">
        <v>303</v>
      </c>
      <c r="H718" s="6" t="n">
        <f aca="false">'Import-dataset'!BU10</f>
        <v>12292</v>
      </c>
    </row>
    <row r="719" customFormat="false" ht="15" hidden="false" customHeight="false" outlineLevel="0" collapsed="false">
      <c r="A719" s="0" t="s">
        <v>231</v>
      </c>
      <c r="B719" s="0" t="n">
        <v>2023</v>
      </c>
      <c r="C719" s="0" t="s">
        <v>459</v>
      </c>
      <c r="D719" s="0" t="s">
        <v>316</v>
      </c>
      <c r="E719" s="0" t="s">
        <v>460</v>
      </c>
      <c r="F719" s="0" t="s">
        <v>141</v>
      </c>
      <c r="G719" s="0" t="s">
        <v>303</v>
      </c>
      <c r="H719" s="6" t="n">
        <f aca="false">'Import-dataset'!BU11</f>
        <v>12575</v>
      </c>
    </row>
    <row r="720" customFormat="false" ht="15" hidden="false" customHeight="false" outlineLevel="0" collapsed="false">
      <c r="A720" s="0" t="s">
        <v>231</v>
      </c>
      <c r="B720" s="0" t="n">
        <v>2024</v>
      </c>
      <c r="C720" s="0" t="s">
        <v>459</v>
      </c>
      <c r="D720" s="0" t="s">
        <v>316</v>
      </c>
      <c r="E720" s="0" t="s">
        <v>460</v>
      </c>
      <c r="F720" s="0" t="s">
        <v>141</v>
      </c>
      <c r="G720" s="0" t="s">
        <v>303</v>
      </c>
      <c r="H720" s="6" t="n">
        <f aca="false">'Import-dataset'!BU12</f>
        <v>13470</v>
      </c>
    </row>
    <row r="721" customFormat="false" ht="15" hidden="false" customHeight="false" outlineLevel="0" collapsed="false">
      <c r="A721" s="0" t="s">
        <v>231</v>
      </c>
      <c r="B721" s="0" t="n">
        <v>2025</v>
      </c>
      <c r="C721" s="0" t="s">
        <v>459</v>
      </c>
      <c r="D721" s="0" t="s">
        <v>316</v>
      </c>
      <c r="E721" s="0" t="s">
        <v>460</v>
      </c>
      <c r="F721" s="0" t="s">
        <v>141</v>
      </c>
      <c r="G721" s="0" t="s">
        <v>303</v>
      </c>
      <c r="H721" s="6" t="n">
        <f aca="false">'Import-dataset'!BU13</f>
        <v>25622</v>
      </c>
    </row>
    <row r="722" customFormat="false" ht="15" hidden="false" customHeight="false" outlineLevel="0" collapsed="false">
      <c r="A722" s="0" t="s">
        <v>231</v>
      </c>
      <c r="B722" s="0" t="n">
        <v>2016</v>
      </c>
      <c r="C722" s="0" t="s">
        <v>461</v>
      </c>
      <c r="D722" s="0" t="s">
        <v>319</v>
      </c>
      <c r="E722" s="0" t="s">
        <v>462</v>
      </c>
      <c r="F722" s="0" t="s">
        <v>141</v>
      </c>
      <c r="G722" s="0" t="s">
        <v>304</v>
      </c>
      <c r="H722" s="6" t="n">
        <f aca="false">'Import-dataset'!BV4</f>
        <v>4</v>
      </c>
    </row>
    <row r="723" customFormat="false" ht="15" hidden="false" customHeight="false" outlineLevel="0" collapsed="false">
      <c r="A723" s="0" t="s">
        <v>231</v>
      </c>
      <c r="B723" s="0" t="n">
        <v>2017</v>
      </c>
      <c r="C723" s="0" t="s">
        <v>461</v>
      </c>
      <c r="D723" s="0" t="s">
        <v>319</v>
      </c>
      <c r="E723" s="0" t="s">
        <v>462</v>
      </c>
      <c r="F723" s="0" t="s">
        <v>141</v>
      </c>
      <c r="G723" s="0" t="s">
        <v>304</v>
      </c>
      <c r="H723" s="6" t="n">
        <f aca="false">'Import-dataset'!BV5</f>
        <v>12</v>
      </c>
    </row>
    <row r="724" customFormat="false" ht="15" hidden="false" customHeight="false" outlineLevel="0" collapsed="false">
      <c r="A724" s="0" t="s">
        <v>231</v>
      </c>
      <c r="B724" s="0" t="n">
        <v>2018</v>
      </c>
      <c r="C724" s="0" t="s">
        <v>461</v>
      </c>
      <c r="D724" s="0" t="s">
        <v>319</v>
      </c>
      <c r="E724" s="0" t="s">
        <v>462</v>
      </c>
      <c r="F724" s="0" t="s">
        <v>141</v>
      </c>
      <c r="G724" s="0" t="s">
        <v>304</v>
      </c>
      <c r="H724" s="6" t="n">
        <f aca="false">'Import-dataset'!BV6</f>
        <v>5</v>
      </c>
    </row>
    <row r="725" customFormat="false" ht="15" hidden="false" customHeight="false" outlineLevel="0" collapsed="false">
      <c r="A725" s="0" t="s">
        <v>231</v>
      </c>
      <c r="B725" s="0" t="n">
        <v>2019</v>
      </c>
      <c r="C725" s="0" t="s">
        <v>461</v>
      </c>
      <c r="D725" s="0" t="s">
        <v>319</v>
      </c>
      <c r="E725" s="0" t="s">
        <v>462</v>
      </c>
      <c r="F725" s="0" t="s">
        <v>141</v>
      </c>
      <c r="G725" s="0" t="s">
        <v>304</v>
      </c>
      <c r="H725" s="6" t="n">
        <f aca="false">'Import-dataset'!BV7</f>
        <v>5</v>
      </c>
    </row>
    <row r="726" customFormat="false" ht="15" hidden="false" customHeight="false" outlineLevel="0" collapsed="false">
      <c r="A726" s="0" t="s">
        <v>231</v>
      </c>
      <c r="B726" s="0" t="n">
        <v>2020</v>
      </c>
      <c r="C726" s="0" t="s">
        <v>461</v>
      </c>
      <c r="D726" s="0" t="s">
        <v>319</v>
      </c>
      <c r="E726" s="0" t="s">
        <v>462</v>
      </c>
      <c r="F726" s="0" t="s">
        <v>141</v>
      </c>
      <c r="G726" s="0" t="s">
        <v>304</v>
      </c>
      <c r="H726" s="6" t="n">
        <f aca="false">'Import-dataset'!BV8</f>
        <v>2</v>
      </c>
    </row>
    <row r="727" customFormat="false" ht="15" hidden="false" customHeight="false" outlineLevel="0" collapsed="false">
      <c r="A727" s="0" t="s">
        <v>231</v>
      </c>
      <c r="B727" s="0" t="n">
        <v>2021</v>
      </c>
      <c r="C727" s="0" t="s">
        <v>461</v>
      </c>
      <c r="D727" s="0" t="s">
        <v>319</v>
      </c>
      <c r="E727" s="0" t="s">
        <v>462</v>
      </c>
      <c r="F727" s="0" t="s">
        <v>141</v>
      </c>
      <c r="G727" s="0" t="s">
        <v>304</v>
      </c>
      <c r="H727" s="6" t="n">
        <f aca="false">'Import-dataset'!BV9</f>
        <v>4</v>
      </c>
    </row>
    <row r="728" customFormat="false" ht="15" hidden="false" customHeight="false" outlineLevel="0" collapsed="false">
      <c r="A728" s="0" t="s">
        <v>231</v>
      </c>
      <c r="B728" s="0" t="n">
        <v>2022</v>
      </c>
      <c r="C728" s="0" t="s">
        <v>461</v>
      </c>
      <c r="D728" s="0" t="s">
        <v>319</v>
      </c>
      <c r="E728" s="0" t="s">
        <v>462</v>
      </c>
      <c r="F728" s="0" t="s">
        <v>141</v>
      </c>
      <c r="G728" s="0" t="s">
        <v>304</v>
      </c>
      <c r="H728" s="6" t="n">
        <f aca="false">'Import-dataset'!BV10</f>
        <v>3</v>
      </c>
    </row>
    <row r="729" customFormat="false" ht="15" hidden="false" customHeight="false" outlineLevel="0" collapsed="false">
      <c r="A729" s="0" t="s">
        <v>231</v>
      </c>
      <c r="B729" s="0" t="n">
        <v>2023</v>
      </c>
      <c r="C729" s="0" t="s">
        <v>461</v>
      </c>
      <c r="D729" s="0" t="s">
        <v>319</v>
      </c>
      <c r="E729" s="0" t="s">
        <v>462</v>
      </c>
      <c r="F729" s="0" t="s">
        <v>141</v>
      </c>
      <c r="G729" s="0" t="s">
        <v>304</v>
      </c>
      <c r="H729" s="6" t="n">
        <f aca="false">'Import-dataset'!BV11</f>
        <v>6</v>
      </c>
    </row>
    <row r="730" customFormat="false" ht="15" hidden="false" customHeight="false" outlineLevel="0" collapsed="false">
      <c r="A730" s="0" t="s">
        <v>231</v>
      </c>
      <c r="B730" s="0" t="n">
        <v>2024</v>
      </c>
      <c r="C730" s="0" t="s">
        <v>461</v>
      </c>
      <c r="D730" s="0" t="s">
        <v>319</v>
      </c>
      <c r="E730" s="0" t="s">
        <v>462</v>
      </c>
      <c r="F730" s="0" t="s">
        <v>141</v>
      </c>
      <c r="G730" s="0" t="s">
        <v>304</v>
      </c>
      <c r="H730" s="6" t="n">
        <f aca="false">'Import-dataset'!BV12</f>
        <v>1</v>
      </c>
    </row>
    <row r="731" customFormat="false" ht="15" hidden="false" customHeight="false" outlineLevel="0" collapsed="false">
      <c r="A731" s="0" t="s">
        <v>231</v>
      </c>
      <c r="B731" s="0" t="n">
        <v>2025</v>
      </c>
      <c r="C731" s="0" t="s">
        <v>461</v>
      </c>
      <c r="D731" s="0" t="s">
        <v>319</v>
      </c>
      <c r="E731" s="0" t="s">
        <v>462</v>
      </c>
      <c r="F731" s="0" t="s">
        <v>141</v>
      </c>
      <c r="G731" s="0" t="s">
        <v>304</v>
      </c>
      <c r="H731" s="6" t="n">
        <f aca="false">'Import-dataset'!BV13</f>
        <v>6</v>
      </c>
    </row>
    <row r="732" customFormat="false" ht="15" hidden="false" customHeight="false" outlineLevel="0" collapsed="false">
      <c r="A732" s="0" t="s">
        <v>231</v>
      </c>
      <c r="B732" s="0" t="n">
        <v>2016</v>
      </c>
      <c r="C732" s="0" t="s">
        <v>463</v>
      </c>
      <c r="D732" s="0" t="s">
        <v>319</v>
      </c>
      <c r="E732" s="0" t="s">
        <v>464</v>
      </c>
      <c r="F732" s="0" t="s">
        <v>141</v>
      </c>
      <c r="G732" s="0" t="s">
        <v>305</v>
      </c>
      <c r="H732" s="6" t="n">
        <f aca="false">'Import-dataset'!BW4</f>
        <v>41</v>
      </c>
    </row>
    <row r="733" customFormat="false" ht="15" hidden="false" customHeight="false" outlineLevel="0" collapsed="false">
      <c r="A733" s="0" t="s">
        <v>231</v>
      </c>
      <c r="B733" s="0" t="n">
        <v>2017</v>
      </c>
      <c r="C733" s="0" t="s">
        <v>463</v>
      </c>
      <c r="D733" s="0" t="s">
        <v>319</v>
      </c>
      <c r="E733" s="0" t="s">
        <v>464</v>
      </c>
      <c r="F733" s="0" t="s">
        <v>141</v>
      </c>
      <c r="G733" s="0" t="s">
        <v>305</v>
      </c>
      <c r="H733" s="6" t="n">
        <f aca="false">'Import-dataset'!BW5</f>
        <v>21</v>
      </c>
    </row>
    <row r="734" customFormat="false" ht="15" hidden="false" customHeight="false" outlineLevel="0" collapsed="false">
      <c r="A734" s="0" t="s">
        <v>231</v>
      </c>
      <c r="B734" s="0" t="n">
        <v>2018</v>
      </c>
      <c r="C734" s="0" t="s">
        <v>463</v>
      </c>
      <c r="D734" s="0" t="s">
        <v>319</v>
      </c>
      <c r="E734" s="0" t="s">
        <v>464</v>
      </c>
      <c r="F734" s="0" t="s">
        <v>141</v>
      </c>
      <c r="G734" s="0" t="s">
        <v>305</v>
      </c>
      <c r="H734" s="6" t="n">
        <f aca="false">'Import-dataset'!BW6</f>
        <v>30</v>
      </c>
    </row>
    <row r="735" customFormat="false" ht="15" hidden="false" customHeight="false" outlineLevel="0" collapsed="false">
      <c r="A735" s="0" t="s">
        <v>231</v>
      </c>
      <c r="B735" s="0" t="n">
        <v>2019</v>
      </c>
      <c r="C735" s="0" t="s">
        <v>463</v>
      </c>
      <c r="D735" s="0" t="s">
        <v>319</v>
      </c>
      <c r="E735" s="0" t="s">
        <v>464</v>
      </c>
      <c r="F735" s="0" t="s">
        <v>141</v>
      </c>
      <c r="G735" s="0" t="s">
        <v>305</v>
      </c>
      <c r="H735" s="6" t="n">
        <f aca="false">'Import-dataset'!BW7</f>
        <v>33</v>
      </c>
    </row>
    <row r="736" customFormat="false" ht="15" hidden="false" customHeight="false" outlineLevel="0" collapsed="false">
      <c r="A736" s="0" t="s">
        <v>231</v>
      </c>
      <c r="B736" s="0" t="n">
        <v>2020</v>
      </c>
      <c r="C736" s="0" t="s">
        <v>463</v>
      </c>
      <c r="D736" s="0" t="s">
        <v>319</v>
      </c>
      <c r="E736" s="0" t="s">
        <v>464</v>
      </c>
      <c r="F736" s="0" t="s">
        <v>141</v>
      </c>
      <c r="G736" s="0" t="s">
        <v>305</v>
      </c>
      <c r="H736" s="6" t="n">
        <f aca="false">'Import-dataset'!BW8</f>
        <v>60</v>
      </c>
    </row>
    <row r="737" customFormat="false" ht="15" hidden="false" customHeight="false" outlineLevel="0" collapsed="false">
      <c r="A737" s="0" t="s">
        <v>231</v>
      </c>
      <c r="B737" s="0" t="n">
        <v>2021</v>
      </c>
      <c r="C737" s="0" t="s">
        <v>463</v>
      </c>
      <c r="D737" s="0" t="s">
        <v>319</v>
      </c>
      <c r="E737" s="0" t="s">
        <v>464</v>
      </c>
      <c r="F737" s="0" t="s">
        <v>141</v>
      </c>
      <c r="G737" s="0" t="s">
        <v>305</v>
      </c>
      <c r="H737" s="6" t="n">
        <f aca="false">'Import-dataset'!BW9</f>
        <v>56</v>
      </c>
    </row>
    <row r="738" customFormat="false" ht="15" hidden="false" customHeight="false" outlineLevel="0" collapsed="false">
      <c r="A738" s="0" t="s">
        <v>231</v>
      </c>
      <c r="B738" s="0" t="n">
        <v>2022</v>
      </c>
      <c r="C738" s="0" t="s">
        <v>463</v>
      </c>
      <c r="D738" s="0" t="s">
        <v>319</v>
      </c>
      <c r="E738" s="0" t="s">
        <v>464</v>
      </c>
      <c r="F738" s="0" t="s">
        <v>141</v>
      </c>
      <c r="G738" s="0" t="s">
        <v>305</v>
      </c>
      <c r="H738" s="6" t="n">
        <f aca="false">'Import-dataset'!BW10</f>
        <v>80</v>
      </c>
    </row>
    <row r="739" customFormat="false" ht="15" hidden="false" customHeight="false" outlineLevel="0" collapsed="false">
      <c r="A739" s="0" t="s">
        <v>231</v>
      </c>
      <c r="B739" s="0" t="n">
        <v>2023</v>
      </c>
      <c r="C739" s="0" t="s">
        <v>463</v>
      </c>
      <c r="D739" s="0" t="s">
        <v>319</v>
      </c>
      <c r="E739" s="0" t="s">
        <v>464</v>
      </c>
      <c r="F739" s="0" t="s">
        <v>141</v>
      </c>
      <c r="G739" s="0" t="s">
        <v>305</v>
      </c>
      <c r="H739" s="6" t="n">
        <f aca="false">'Import-dataset'!BW11</f>
        <v>66</v>
      </c>
    </row>
    <row r="740" customFormat="false" ht="15" hidden="false" customHeight="false" outlineLevel="0" collapsed="false">
      <c r="A740" s="0" t="s">
        <v>231</v>
      </c>
      <c r="B740" s="0" t="n">
        <v>2024</v>
      </c>
      <c r="C740" s="0" t="s">
        <v>463</v>
      </c>
      <c r="D740" s="0" t="s">
        <v>319</v>
      </c>
      <c r="E740" s="0" t="s">
        <v>464</v>
      </c>
      <c r="F740" s="0" t="s">
        <v>141</v>
      </c>
      <c r="G740" s="0" t="s">
        <v>305</v>
      </c>
      <c r="H740" s="6" t="n">
        <f aca="false">'Import-dataset'!BW12</f>
        <v>57</v>
      </c>
    </row>
    <row r="741" customFormat="false" ht="15" hidden="false" customHeight="false" outlineLevel="0" collapsed="false">
      <c r="A741" s="0" t="s">
        <v>231</v>
      </c>
      <c r="B741" s="0" t="n">
        <v>2025</v>
      </c>
      <c r="C741" s="0" t="s">
        <v>463</v>
      </c>
      <c r="D741" s="0" t="s">
        <v>319</v>
      </c>
      <c r="E741" s="0" t="s">
        <v>464</v>
      </c>
      <c r="F741" s="0" t="s">
        <v>141</v>
      </c>
      <c r="G741" s="0" t="s">
        <v>305</v>
      </c>
      <c r="H741" s="6" t="n">
        <f aca="false">'Import-dataset'!BW13</f>
        <v>71</v>
      </c>
    </row>
    <row r="742" customFormat="false" ht="15" hidden="false" customHeight="false" outlineLevel="0" collapsed="false">
      <c r="A742" s="0" t="s">
        <v>231</v>
      </c>
      <c r="B742" s="0" t="n">
        <v>2016</v>
      </c>
      <c r="C742" s="0" t="s">
        <v>465</v>
      </c>
      <c r="D742" s="0" t="s">
        <v>319</v>
      </c>
      <c r="E742" s="0" t="s">
        <v>466</v>
      </c>
      <c r="F742" s="0" t="s">
        <v>141</v>
      </c>
      <c r="G742" s="0" t="s">
        <v>306</v>
      </c>
      <c r="H742" s="6" t="n">
        <f aca="false">'Import-dataset'!BX4</f>
        <v>7</v>
      </c>
    </row>
    <row r="743" customFormat="false" ht="15" hidden="false" customHeight="false" outlineLevel="0" collapsed="false">
      <c r="A743" s="0" t="s">
        <v>231</v>
      </c>
      <c r="B743" s="0" t="n">
        <v>2017</v>
      </c>
      <c r="C743" s="0" t="s">
        <v>465</v>
      </c>
      <c r="D743" s="0" t="s">
        <v>319</v>
      </c>
      <c r="E743" s="0" t="s">
        <v>466</v>
      </c>
      <c r="F743" s="0" t="s">
        <v>141</v>
      </c>
      <c r="G743" s="0" t="s">
        <v>306</v>
      </c>
      <c r="H743" s="6" t="n">
        <f aca="false">'Import-dataset'!BX5</f>
        <v>3</v>
      </c>
    </row>
    <row r="744" customFormat="false" ht="15" hidden="false" customHeight="false" outlineLevel="0" collapsed="false">
      <c r="A744" s="0" t="s">
        <v>231</v>
      </c>
      <c r="B744" s="0" t="n">
        <v>2018</v>
      </c>
      <c r="C744" s="0" t="s">
        <v>465</v>
      </c>
      <c r="D744" s="0" t="s">
        <v>319</v>
      </c>
      <c r="E744" s="0" t="s">
        <v>466</v>
      </c>
      <c r="F744" s="0" t="s">
        <v>141</v>
      </c>
      <c r="G744" s="0" t="s">
        <v>306</v>
      </c>
      <c r="H744" s="6" t="n">
        <f aca="false">'Import-dataset'!BX6</f>
        <v>7</v>
      </c>
    </row>
    <row r="745" customFormat="false" ht="15" hidden="false" customHeight="false" outlineLevel="0" collapsed="false">
      <c r="A745" s="0" t="s">
        <v>231</v>
      </c>
      <c r="B745" s="0" t="n">
        <v>2019</v>
      </c>
      <c r="C745" s="0" t="s">
        <v>465</v>
      </c>
      <c r="D745" s="0" t="s">
        <v>319</v>
      </c>
      <c r="E745" s="0" t="s">
        <v>466</v>
      </c>
      <c r="F745" s="0" t="s">
        <v>141</v>
      </c>
      <c r="G745" s="0" t="s">
        <v>306</v>
      </c>
      <c r="H745" s="6" t="n">
        <f aca="false">'Import-dataset'!BX7</f>
        <v>2</v>
      </c>
    </row>
    <row r="746" customFormat="false" ht="15" hidden="false" customHeight="false" outlineLevel="0" collapsed="false">
      <c r="A746" s="0" t="s">
        <v>231</v>
      </c>
      <c r="B746" s="0" t="n">
        <v>2020</v>
      </c>
      <c r="C746" s="0" t="s">
        <v>465</v>
      </c>
      <c r="D746" s="0" t="s">
        <v>319</v>
      </c>
      <c r="E746" s="0" t="s">
        <v>466</v>
      </c>
      <c r="F746" s="0" t="s">
        <v>141</v>
      </c>
      <c r="G746" s="0" t="s">
        <v>306</v>
      </c>
      <c r="H746" s="6" t="n">
        <f aca="false">'Import-dataset'!BX8</f>
        <v>12</v>
      </c>
    </row>
    <row r="747" customFormat="false" ht="15" hidden="false" customHeight="false" outlineLevel="0" collapsed="false">
      <c r="A747" s="0" t="s">
        <v>231</v>
      </c>
      <c r="B747" s="0" t="n">
        <v>2021</v>
      </c>
      <c r="C747" s="0" t="s">
        <v>465</v>
      </c>
      <c r="D747" s="0" t="s">
        <v>319</v>
      </c>
      <c r="E747" s="0" t="s">
        <v>466</v>
      </c>
      <c r="F747" s="0" t="s">
        <v>141</v>
      </c>
      <c r="G747" s="0" t="s">
        <v>306</v>
      </c>
      <c r="H747" s="6" t="n">
        <f aca="false">'Import-dataset'!BX9</f>
        <v>11</v>
      </c>
    </row>
    <row r="748" customFormat="false" ht="15" hidden="false" customHeight="false" outlineLevel="0" collapsed="false">
      <c r="A748" s="0" t="s">
        <v>231</v>
      </c>
      <c r="B748" s="0" t="n">
        <v>2022</v>
      </c>
      <c r="C748" s="0" t="s">
        <v>465</v>
      </c>
      <c r="D748" s="0" t="s">
        <v>319</v>
      </c>
      <c r="E748" s="0" t="s">
        <v>466</v>
      </c>
      <c r="F748" s="0" t="s">
        <v>141</v>
      </c>
      <c r="G748" s="0" t="s">
        <v>306</v>
      </c>
      <c r="H748" s="6" t="n">
        <f aca="false">'Import-dataset'!BX10</f>
        <v>17</v>
      </c>
    </row>
    <row r="749" customFormat="false" ht="15" hidden="false" customHeight="false" outlineLevel="0" collapsed="false">
      <c r="A749" s="0" t="s">
        <v>231</v>
      </c>
      <c r="B749" s="0" t="n">
        <v>2023</v>
      </c>
      <c r="C749" s="0" t="s">
        <v>465</v>
      </c>
      <c r="D749" s="0" t="s">
        <v>319</v>
      </c>
      <c r="E749" s="0" t="s">
        <v>466</v>
      </c>
      <c r="F749" s="0" t="s">
        <v>141</v>
      </c>
      <c r="G749" s="0" t="s">
        <v>306</v>
      </c>
      <c r="H749" s="6" t="n">
        <f aca="false">'Import-dataset'!BX11</f>
        <v>19</v>
      </c>
    </row>
    <row r="750" customFormat="false" ht="15" hidden="false" customHeight="false" outlineLevel="0" collapsed="false">
      <c r="A750" s="0" t="s">
        <v>231</v>
      </c>
      <c r="B750" s="0" t="n">
        <v>2024</v>
      </c>
      <c r="C750" s="0" t="s">
        <v>465</v>
      </c>
      <c r="D750" s="0" t="s">
        <v>319</v>
      </c>
      <c r="E750" s="0" t="s">
        <v>466</v>
      </c>
      <c r="F750" s="0" t="s">
        <v>141</v>
      </c>
      <c r="G750" s="0" t="s">
        <v>306</v>
      </c>
      <c r="H750" s="6" t="n">
        <f aca="false">'Import-dataset'!BX12</f>
        <v>18</v>
      </c>
    </row>
    <row r="751" customFormat="false" ht="15" hidden="false" customHeight="false" outlineLevel="0" collapsed="false">
      <c r="A751" s="0" t="s">
        <v>231</v>
      </c>
      <c r="B751" s="0" t="n">
        <v>2025</v>
      </c>
      <c r="C751" s="0" t="s">
        <v>465</v>
      </c>
      <c r="D751" s="0" t="s">
        <v>319</v>
      </c>
      <c r="E751" s="0" t="s">
        <v>466</v>
      </c>
      <c r="F751" s="0" t="s">
        <v>141</v>
      </c>
      <c r="G751" s="0" t="s">
        <v>306</v>
      </c>
      <c r="H751" s="6" t="n">
        <f aca="false">'Import-dataset'!BX13</f>
        <v>22</v>
      </c>
    </row>
    <row r="752" customFormat="false" ht="15" hidden="false" customHeight="false" outlineLevel="0" collapsed="false">
      <c r="A752" s="0" t="s">
        <v>231</v>
      </c>
      <c r="B752" s="0" t="n">
        <v>2016</v>
      </c>
      <c r="C752" s="0" t="s">
        <v>467</v>
      </c>
      <c r="D752" s="0" t="s">
        <v>319</v>
      </c>
      <c r="E752" s="0" t="s">
        <v>468</v>
      </c>
      <c r="F752" s="0" t="s">
        <v>141</v>
      </c>
      <c r="G752" s="0" t="s">
        <v>307</v>
      </c>
      <c r="H752" s="6" t="n">
        <f aca="false">'Import-dataset'!BY4</f>
        <v>7468</v>
      </c>
    </row>
    <row r="753" customFormat="false" ht="15" hidden="false" customHeight="false" outlineLevel="0" collapsed="false">
      <c r="A753" s="0" t="s">
        <v>231</v>
      </c>
      <c r="B753" s="0" t="n">
        <v>2017</v>
      </c>
      <c r="C753" s="0" t="s">
        <v>467</v>
      </c>
      <c r="D753" s="0" t="s">
        <v>319</v>
      </c>
      <c r="E753" s="0" t="s">
        <v>468</v>
      </c>
      <c r="F753" s="0" t="s">
        <v>141</v>
      </c>
      <c r="G753" s="0" t="s">
        <v>307</v>
      </c>
      <c r="H753" s="6" t="n">
        <f aca="false">'Import-dataset'!BY5</f>
        <v>6220</v>
      </c>
    </row>
    <row r="754" customFormat="false" ht="15" hidden="false" customHeight="false" outlineLevel="0" collapsed="false">
      <c r="A754" s="0" t="s">
        <v>231</v>
      </c>
      <c r="B754" s="0" t="n">
        <v>2018</v>
      </c>
      <c r="C754" s="0" t="s">
        <v>467</v>
      </c>
      <c r="D754" s="0" t="s">
        <v>319</v>
      </c>
      <c r="E754" s="0" t="s">
        <v>468</v>
      </c>
      <c r="F754" s="0" t="s">
        <v>141</v>
      </c>
      <c r="G754" s="0" t="s">
        <v>307</v>
      </c>
      <c r="H754" s="6" t="n">
        <f aca="false">'Import-dataset'!BY6</f>
        <v>6385</v>
      </c>
    </row>
    <row r="755" customFormat="false" ht="15" hidden="false" customHeight="false" outlineLevel="0" collapsed="false">
      <c r="A755" s="0" t="s">
        <v>231</v>
      </c>
      <c r="B755" s="0" t="n">
        <v>2019</v>
      </c>
      <c r="C755" s="0" t="s">
        <v>467</v>
      </c>
      <c r="D755" s="0" t="s">
        <v>319</v>
      </c>
      <c r="E755" s="0" t="s">
        <v>468</v>
      </c>
      <c r="F755" s="0" t="s">
        <v>141</v>
      </c>
      <c r="G755" s="0" t="s">
        <v>307</v>
      </c>
      <c r="H755" s="6" t="n">
        <f aca="false">'Import-dataset'!BY7</f>
        <v>6772</v>
      </c>
    </row>
    <row r="756" customFormat="false" ht="15" hidden="false" customHeight="false" outlineLevel="0" collapsed="false">
      <c r="A756" s="0" t="s">
        <v>231</v>
      </c>
      <c r="B756" s="0" t="n">
        <v>2020</v>
      </c>
      <c r="C756" s="0" t="s">
        <v>467</v>
      </c>
      <c r="D756" s="0" t="s">
        <v>319</v>
      </c>
      <c r="E756" s="0" t="s">
        <v>468</v>
      </c>
      <c r="F756" s="0" t="s">
        <v>141</v>
      </c>
      <c r="G756" s="0" t="s">
        <v>307</v>
      </c>
      <c r="H756" s="6" t="n">
        <f aca="false">'Import-dataset'!BY8</f>
        <v>9208</v>
      </c>
    </row>
    <row r="757" customFormat="false" ht="15" hidden="false" customHeight="false" outlineLevel="0" collapsed="false">
      <c r="A757" s="0" t="s">
        <v>231</v>
      </c>
      <c r="B757" s="0" t="n">
        <v>2021</v>
      </c>
      <c r="C757" s="0" t="s">
        <v>467</v>
      </c>
      <c r="D757" s="0" t="s">
        <v>319</v>
      </c>
      <c r="E757" s="0" t="s">
        <v>468</v>
      </c>
      <c r="F757" s="0" t="s">
        <v>141</v>
      </c>
      <c r="G757" s="0" t="s">
        <v>307</v>
      </c>
      <c r="H757" s="6" t="n">
        <f aca="false">'Import-dataset'!BY9</f>
        <v>6525</v>
      </c>
    </row>
    <row r="758" customFormat="false" ht="15" hidden="false" customHeight="false" outlineLevel="0" collapsed="false">
      <c r="A758" s="0" t="s">
        <v>231</v>
      </c>
      <c r="B758" s="0" t="n">
        <v>2022</v>
      </c>
      <c r="C758" s="0" t="s">
        <v>467</v>
      </c>
      <c r="D758" s="0" t="s">
        <v>319</v>
      </c>
      <c r="E758" s="0" t="s">
        <v>468</v>
      </c>
      <c r="F758" s="0" t="s">
        <v>141</v>
      </c>
      <c r="G758" s="0" t="s">
        <v>307</v>
      </c>
      <c r="H758" s="6" t="n">
        <f aca="false">'Import-dataset'!BY10</f>
        <v>6959</v>
      </c>
    </row>
    <row r="759" customFormat="false" ht="15" hidden="false" customHeight="false" outlineLevel="0" collapsed="false">
      <c r="A759" s="0" t="s">
        <v>231</v>
      </c>
      <c r="B759" s="0" t="n">
        <v>2023</v>
      </c>
      <c r="C759" s="0" t="s">
        <v>467</v>
      </c>
      <c r="D759" s="0" t="s">
        <v>319</v>
      </c>
      <c r="E759" s="0" t="s">
        <v>468</v>
      </c>
      <c r="F759" s="0" t="s">
        <v>141</v>
      </c>
      <c r="G759" s="0" t="s">
        <v>307</v>
      </c>
      <c r="H759" s="6" t="n">
        <f aca="false">'Import-dataset'!BY11</f>
        <v>8565</v>
      </c>
    </row>
    <row r="760" customFormat="false" ht="15" hidden="false" customHeight="false" outlineLevel="0" collapsed="false">
      <c r="A760" s="0" t="s">
        <v>231</v>
      </c>
      <c r="B760" s="0" t="n">
        <v>2024</v>
      </c>
      <c r="C760" s="0" t="s">
        <v>467</v>
      </c>
      <c r="D760" s="0" t="s">
        <v>319</v>
      </c>
      <c r="E760" s="0" t="s">
        <v>468</v>
      </c>
      <c r="F760" s="0" t="s">
        <v>141</v>
      </c>
      <c r="G760" s="0" t="s">
        <v>307</v>
      </c>
      <c r="H760" s="6" t="n">
        <f aca="false">'Import-dataset'!BY12</f>
        <v>9876</v>
      </c>
    </row>
    <row r="761" customFormat="false" ht="15" hidden="false" customHeight="false" outlineLevel="0" collapsed="false">
      <c r="A761" s="0" t="s">
        <v>231</v>
      </c>
      <c r="B761" s="0" t="n">
        <v>2025</v>
      </c>
      <c r="C761" s="0" t="s">
        <v>467</v>
      </c>
      <c r="D761" s="0" t="s">
        <v>319</v>
      </c>
      <c r="E761" s="0" t="s">
        <v>468</v>
      </c>
      <c r="F761" s="0" t="s">
        <v>141</v>
      </c>
      <c r="G761" s="0" t="s">
        <v>307</v>
      </c>
      <c r="H761" s="6" t="n">
        <f aca="false">'Import-dataset'!BY13</f>
        <v>20614</v>
      </c>
    </row>
    <row r="762" customFormat="false" ht="15" hidden="false" customHeight="false" outlineLevel="0" collapsed="false">
      <c r="A762" s="0" t="s">
        <v>231</v>
      </c>
      <c r="B762" s="0" t="n">
        <v>2016</v>
      </c>
      <c r="C762" s="0" t="s">
        <v>469</v>
      </c>
      <c r="D762" s="0" t="s">
        <v>319</v>
      </c>
      <c r="E762" s="0" t="s">
        <v>470</v>
      </c>
      <c r="F762" s="0" t="s">
        <v>141</v>
      </c>
      <c r="G762" s="0" t="s">
        <v>308</v>
      </c>
      <c r="H762" s="6" t="n">
        <f aca="false">'Import-dataset'!BZ4</f>
        <v>2440</v>
      </c>
    </row>
    <row r="763" customFormat="false" ht="15" hidden="false" customHeight="false" outlineLevel="0" collapsed="false">
      <c r="A763" s="0" t="s">
        <v>231</v>
      </c>
      <c r="B763" s="0" t="n">
        <v>2017</v>
      </c>
      <c r="C763" s="0" t="s">
        <v>469</v>
      </c>
      <c r="D763" s="0" t="s">
        <v>319</v>
      </c>
      <c r="E763" s="0" t="s">
        <v>470</v>
      </c>
      <c r="F763" s="0" t="s">
        <v>141</v>
      </c>
      <c r="G763" s="0" t="s">
        <v>308</v>
      </c>
      <c r="H763" s="6" t="n">
        <f aca="false">'Import-dataset'!BZ5</f>
        <v>15140</v>
      </c>
    </row>
    <row r="764" customFormat="false" ht="15" hidden="false" customHeight="false" outlineLevel="0" collapsed="false">
      <c r="A764" s="0" t="s">
        <v>231</v>
      </c>
      <c r="B764" s="0" t="n">
        <v>2018</v>
      </c>
      <c r="C764" s="0" t="s">
        <v>469</v>
      </c>
      <c r="D764" s="0" t="s">
        <v>319</v>
      </c>
      <c r="E764" s="0" t="s">
        <v>470</v>
      </c>
      <c r="F764" s="0" t="s">
        <v>141</v>
      </c>
      <c r="G764" s="0" t="s">
        <v>308</v>
      </c>
      <c r="H764" s="6" t="n">
        <f aca="false">'Import-dataset'!BZ6</f>
        <v>5711</v>
      </c>
    </row>
    <row r="765" customFormat="false" ht="15" hidden="false" customHeight="false" outlineLevel="0" collapsed="false">
      <c r="A765" s="0" t="s">
        <v>231</v>
      </c>
      <c r="B765" s="0" t="n">
        <v>2019</v>
      </c>
      <c r="C765" s="0" t="s">
        <v>469</v>
      </c>
      <c r="D765" s="0" t="s">
        <v>319</v>
      </c>
      <c r="E765" s="0" t="s">
        <v>470</v>
      </c>
      <c r="F765" s="0" t="s">
        <v>141</v>
      </c>
      <c r="G765" s="0" t="s">
        <v>308</v>
      </c>
      <c r="H765" s="6" t="n">
        <f aca="false">'Import-dataset'!BZ7</f>
        <v>4434</v>
      </c>
    </row>
    <row r="766" customFormat="false" ht="15" hidden="false" customHeight="false" outlineLevel="0" collapsed="false">
      <c r="A766" s="0" t="s">
        <v>231</v>
      </c>
      <c r="B766" s="0" t="n">
        <v>2020</v>
      </c>
      <c r="C766" s="0" t="s">
        <v>469</v>
      </c>
      <c r="D766" s="0" t="s">
        <v>319</v>
      </c>
      <c r="E766" s="0" t="s">
        <v>470</v>
      </c>
      <c r="F766" s="0" t="s">
        <v>141</v>
      </c>
      <c r="G766" s="0" t="s">
        <v>308</v>
      </c>
      <c r="H766" s="6" t="n">
        <f aca="false">'Import-dataset'!BZ8</f>
        <v>2632</v>
      </c>
    </row>
    <row r="767" customFormat="false" ht="15" hidden="false" customHeight="false" outlineLevel="0" collapsed="false">
      <c r="A767" s="0" t="s">
        <v>231</v>
      </c>
      <c r="B767" s="0" t="n">
        <v>2021</v>
      </c>
      <c r="C767" s="0" t="s">
        <v>469</v>
      </c>
      <c r="D767" s="0" t="s">
        <v>319</v>
      </c>
      <c r="E767" s="0" t="s">
        <v>470</v>
      </c>
      <c r="F767" s="0" t="s">
        <v>141</v>
      </c>
      <c r="G767" s="0" t="s">
        <v>308</v>
      </c>
      <c r="H767" s="6" t="n">
        <f aca="false">'Import-dataset'!BZ9</f>
        <v>4615</v>
      </c>
    </row>
    <row r="768" customFormat="false" ht="15" hidden="false" customHeight="false" outlineLevel="0" collapsed="false">
      <c r="A768" s="0" t="s">
        <v>231</v>
      </c>
      <c r="B768" s="0" t="n">
        <v>2022</v>
      </c>
      <c r="C768" s="0" t="s">
        <v>469</v>
      </c>
      <c r="D768" s="0" t="s">
        <v>319</v>
      </c>
      <c r="E768" s="0" t="s">
        <v>470</v>
      </c>
      <c r="F768" s="0" t="s">
        <v>141</v>
      </c>
      <c r="G768" s="0" t="s">
        <v>308</v>
      </c>
      <c r="H768" s="6" t="n">
        <f aca="false">'Import-dataset'!BZ10</f>
        <v>5229</v>
      </c>
    </row>
    <row r="769" customFormat="false" ht="15" hidden="false" customHeight="false" outlineLevel="0" collapsed="false">
      <c r="A769" s="0" t="s">
        <v>231</v>
      </c>
      <c r="B769" s="0" t="n">
        <v>2023</v>
      </c>
      <c r="C769" s="0" t="s">
        <v>469</v>
      </c>
      <c r="D769" s="0" t="s">
        <v>319</v>
      </c>
      <c r="E769" s="0" t="s">
        <v>470</v>
      </c>
      <c r="F769" s="0" t="s">
        <v>141</v>
      </c>
      <c r="G769" s="0" t="s">
        <v>308</v>
      </c>
      <c r="H769" s="6" t="n">
        <f aca="false">'Import-dataset'!BZ11</f>
        <v>3917</v>
      </c>
    </row>
    <row r="770" customFormat="false" ht="15" hidden="false" customHeight="false" outlineLevel="0" collapsed="false">
      <c r="A770" s="0" t="s">
        <v>231</v>
      </c>
      <c r="B770" s="0" t="n">
        <v>2024</v>
      </c>
      <c r="C770" s="0" t="s">
        <v>469</v>
      </c>
      <c r="D770" s="0" t="s">
        <v>319</v>
      </c>
      <c r="E770" s="0" t="s">
        <v>470</v>
      </c>
      <c r="F770" s="0" t="s">
        <v>141</v>
      </c>
      <c r="G770" s="0" t="s">
        <v>308</v>
      </c>
      <c r="H770" s="6" t="n">
        <f aca="false">'Import-dataset'!BZ12</f>
        <v>3513</v>
      </c>
    </row>
    <row r="771" customFormat="false" ht="15" hidden="false" customHeight="false" outlineLevel="0" collapsed="false">
      <c r="A771" s="0" t="s">
        <v>231</v>
      </c>
      <c r="B771" s="0" t="n">
        <v>2025</v>
      </c>
      <c r="C771" s="0" t="s">
        <v>469</v>
      </c>
      <c r="D771" s="0" t="s">
        <v>319</v>
      </c>
      <c r="E771" s="0" t="s">
        <v>470</v>
      </c>
      <c r="F771" s="0" t="s">
        <v>141</v>
      </c>
      <c r="G771" s="0" t="s">
        <v>308</v>
      </c>
      <c r="H771" s="6" t="n">
        <f aca="false">'Import-dataset'!BZ13</f>
        <v>4904</v>
      </c>
    </row>
    <row r="772" customFormat="false" ht="15" hidden="false" customHeight="false" outlineLevel="0" collapsed="false">
      <c r="A772" s="0" t="s">
        <v>231</v>
      </c>
      <c r="B772" s="0" t="n">
        <v>2016</v>
      </c>
      <c r="C772" s="0" t="s">
        <v>471</v>
      </c>
      <c r="D772" s="0" t="s">
        <v>472</v>
      </c>
      <c r="E772" s="0" t="s">
        <v>473</v>
      </c>
      <c r="F772" s="0" t="s">
        <v>141</v>
      </c>
      <c r="G772" s="0" t="s">
        <v>309</v>
      </c>
      <c r="H772" s="6" t="n">
        <f aca="false">'Import-dataset'!CA4</f>
        <v>254345</v>
      </c>
    </row>
    <row r="773" customFormat="false" ht="15" hidden="false" customHeight="false" outlineLevel="0" collapsed="false">
      <c r="A773" s="0" t="s">
        <v>231</v>
      </c>
      <c r="B773" s="0" t="n">
        <v>2017</v>
      </c>
      <c r="C773" s="0" t="s">
        <v>471</v>
      </c>
      <c r="D773" s="0" t="s">
        <v>472</v>
      </c>
      <c r="E773" s="0" t="s">
        <v>473</v>
      </c>
      <c r="F773" s="0" t="s">
        <v>141</v>
      </c>
      <c r="G773" s="0" t="s">
        <v>309</v>
      </c>
      <c r="H773" s="6" t="n">
        <f aca="false">'Import-dataset'!CA5</f>
        <v>288291</v>
      </c>
    </row>
    <row r="774" customFormat="false" ht="15" hidden="false" customHeight="false" outlineLevel="0" collapsed="false">
      <c r="A774" s="0" t="s">
        <v>231</v>
      </c>
      <c r="B774" s="0" t="n">
        <v>2018</v>
      </c>
      <c r="C774" s="0" t="s">
        <v>471</v>
      </c>
      <c r="D774" s="0" t="s">
        <v>472</v>
      </c>
      <c r="E774" s="0" t="s">
        <v>473</v>
      </c>
      <c r="F774" s="0" t="s">
        <v>141</v>
      </c>
      <c r="G774" s="0" t="s">
        <v>309</v>
      </c>
      <c r="H774" s="6" t="n">
        <f aca="false">'Import-dataset'!CA6</f>
        <v>304050</v>
      </c>
    </row>
    <row r="775" customFormat="false" ht="15" hidden="false" customHeight="false" outlineLevel="0" collapsed="false">
      <c r="A775" s="0" t="s">
        <v>231</v>
      </c>
      <c r="B775" s="0" t="n">
        <v>2019</v>
      </c>
      <c r="C775" s="0" t="s">
        <v>471</v>
      </c>
      <c r="D775" s="0" t="s">
        <v>472</v>
      </c>
      <c r="E775" s="0" t="s">
        <v>473</v>
      </c>
      <c r="F775" s="0" t="s">
        <v>141</v>
      </c>
      <c r="G775" s="0" t="s">
        <v>309</v>
      </c>
      <c r="H775" s="6" t="n">
        <f aca="false">'Import-dataset'!CA7</f>
        <v>307549</v>
      </c>
    </row>
    <row r="776" customFormat="false" ht="15" hidden="false" customHeight="false" outlineLevel="0" collapsed="false">
      <c r="A776" s="0" t="s">
        <v>231</v>
      </c>
      <c r="B776" s="0" t="n">
        <v>2020</v>
      </c>
      <c r="C776" s="0" t="s">
        <v>471</v>
      </c>
      <c r="D776" s="0" t="s">
        <v>472</v>
      </c>
      <c r="E776" s="0" t="s">
        <v>473</v>
      </c>
      <c r="F776" s="0" t="s">
        <v>141</v>
      </c>
      <c r="G776" s="0" t="s">
        <v>309</v>
      </c>
      <c r="H776" s="6" t="n">
        <f aca="false">'Import-dataset'!CA8</f>
        <v>293603</v>
      </c>
    </row>
    <row r="777" customFormat="false" ht="15" hidden="false" customHeight="false" outlineLevel="0" collapsed="false">
      <c r="A777" s="0" t="s">
        <v>231</v>
      </c>
      <c r="B777" s="0" t="n">
        <v>2021</v>
      </c>
      <c r="C777" s="0" t="s">
        <v>471</v>
      </c>
      <c r="D777" s="0" t="s">
        <v>472</v>
      </c>
      <c r="E777" s="0" t="s">
        <v>473</v>
      </c>
      <c r="F777" s="0" t="s">
        <v>141</v>
      </c>
      <c r="G777" s="0" t="s">
        <v>309</v>
      </c>
      <c r="H777" s="6" t="n">
        <f aca="false">'Import-dataset'!CA9</f>
        <v>330234</v>
      </c>
    </row>
    <row r="778" customFormat="false" ht="15" hidden="false" customHeight="false" outlineLevel="0" collapsed="false">
      <c r="A778" s="0" t="s">
        <v>231</v>
      </c>
      <c r="B778" s="0" t="n">
        <v>2022</v>
      </c>
      <c r="C778" s="0" t="s">
        <v>471</v>
      </c>
      <c r="D778" s="0" t="s">
        <v>472</v>
      </c>
      <c r="E778" s="0" t="s">
        <v>473</v>
      </c>
      <c r="F778" s="0" t="s">
        <v>141</v>
      </c>
      <c r="G778" s="0" t="s">
        <v>309</v>
      </c>
      <c r="H778" s="6" t="n">
        <f aca="false">'Import-dataset'!CA10</f>
        <v>417002</v>
      </c>
    </row>
    <row r="779" customFormat="false" ht="15" hidden="false" customHeight="false" outlineLevel="0" collapsed="false">
      <c r="A779" s="0" t="s">
        <v>231</v>
      </c>
      <c r="B779" s="0" t="n">
        <v>2023</v>
      </c>
      <c r="C779" s="0" t="s">
        <v>471</v>
      </c>
      <c r="D779" s="0" t="s">
        <v>472</v>
      </c>
      <c r="E779" s="0" t="s">
        <v>473</v>
      </c>
      <c r="F779" s="0" t="s">
        <v>141</v>
      </c>
      <c r="G779" s="0" t="s">
        <v>309</v>
      </c>
      <c r="H779" s="6" t="n">
        <f aca="false">'Import-dataset'!CA11</f>
        <v>413869</v>
      </c>
    </row>
    <row r="780" customFormat="false" ht="15" hidden="false" customHeight="false" outlineLevel="0" collapsed="false">
      <c r="A780" s="0" t="s">
        <v>231</v>
      </c>
      <c r="B780" s="0" t="n">
        <v>2024</v>
      </c>
      <c r="C780" s="0" t="s">
        <v>471</v>
      </c>
      <c r="D780" s="0" t="s">
        <v>472</v>
      </c>
      <c r="E780" s="0" t="s">
        <v>473</v>
      </c>
      <c r="F780" s="0" t="s">
        <v>141</v>
      </c>
      <c r="G780" s="0" t="s">
        <v>309</v>
      </c>
      <c r="H780" s="6" t="n">
        <f aca="false">'Import-dataset'!CA12</f>
        <v>429873</v>
      </c>
    </row>
    <row r="781" customFormat="false" ht="15" hidden="false" customHeight="false" outlineLevel="0" collapsed="false">
      <c r="A781" s="0" t="s">
        <v>231</v>
      </c>
      <c r="B781" s="0" t="n">
        <v>2025</v>
      </c>
      <c r="C781" s="0" t="s">
        <v>471</v>
      </c>
      <c r="D781" s="0" t="s">
        <v>472</v>
      </c>
      <c r="E781" s="0" t="s">
        <v>473</v>
      </c>
      <c r="F781" s="0" t="s">
        <v>141</v>
      </c>
      <c r="G781" s="0" t="s">
        <v>309</v>
      </c>
      <c r="H781" s="6" t="n">
        <f aca="false">'Import-dataset'!CA13</f>
        <v>460866</v>
      </c>
    </row>
  </sheetData>
  <autoFilter ref="A1:H7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12" min="3" style="0" width="14"/>
  </cols>
  <sheetData>
    <row r="1" customFormat="false" ht="16.15" hidden="false" customHeight="false" outlineLevel="0" collapsed="false">
      <c r="A1" s="2" t="s">
        <v>475</v>
      </c>
    </row>
    <row r="2" customFormat="false" ht="15" hidden="false" customHeight="false" outlineLevel="0" collapsed="false">
      <c r="A2" s="0" t="s">
        <v>476</v>
      </c>
    </row>
    <row r="4" customFormat="false" ht="16.15" hidden="false" customHeight="false" outlineLevel="0" collapsed="false">
      <c r="A4" s="2" t="s">
        <v>477</v>
      </c>
    </row>
    <row r="5" customFormat="false" ht="15" hidden="false" customHeight="false" outlineLevel="0" collapsed="false">
      <c r="A5" s="3" t="s">
        <v>311</v>
      </c>
      <c r="B5" s="3" t="s">
        <v>313</v>
      </c>
      <c r="C5" s="7" t="n">
        <v>2016</v>
      </c>
      <c r="D5" s="7" t="n">
        <v>2017</v>
      </c>
      <c r="E5" s="7" t="n">
        <v>2018</v>
      </c>
      <c r="F5" s="7" t="n">
        <v>2019</v>
      </c>
      <c r="G5" s="7" t="n">
        <v>2020</v>
      </c>
      <c r="H5" s="7" t="n">
        <v>2021</v>
      </c>
      <c r="I5" s="7" t="n">
        <v>2022</v>
      </c>
      <c r="J5" s="7" t="n">
        <v>2023</v>
      </c>
      <c r="K5" s="7" t="n">
        <v>2024</v>
      </c>
      <c r="L5" s="7" t="n">
        <v>2025</v>
      </c>
    </row>
    <row r="6" customFormat="false" ht="15" hidden="false" customHeight="false" outlineLevel="0" collapsed="false">
      <c r="A6" s="0" t="s">
        <v>315</v>
      </c>
      <c r="B6" s="0" t="s">
        <v>317</v>
      </c>
      <c r="C6" s="8" t="n">
        <f aca="false">'Export-dataset'!B4</f>
        <v>32621</v>
      </c>
      <c r="D6" s="8" t="n">
        <f aca="false">'Export-dataset'!B5</f>
        <v>36596</v>
      </c>
      <c r="E6" s="8" t="n">
        <f aca="false">'Export-dataset'!B6</f>
        <v>35271</v>
      </c>
      <c r="F6" s="8" t="n">
        <f aca="false">'Export-dataset'!B7</f>
        <v>37649</v>
      </c>
      <c r="G6" s="8" t="n">
        <f aca="false">'Export-dataset'!B8</f>
        <v>35628</v>
      </c>
      <c r="H6" s="8" t="n">
        <f aca="false">'Export-dataset'!B9</f>
        <v>43540</v>
      </c>
      <c r="I6" s="8" t="n">
        <f aca="false">'Export-dataset'!B10</f>
        <v>53122</v>
      </c>
      <c r="J6" s="8" t="n">
        <f aca="false">'Export-dataset'!B11</f>
        <v>54749</v>
      </c>
      <c r="K6" s="8" t="n">
        <f aca="false">'Export-dataset'!B12</f>
        <v>52562</v>
      </c>
      <c r="L6" s="8" t="n">
        <f aca="false">'Export-dataset'!B13</f>
        <v>62043</v>
      </c>
    </row>
    <row r="7" customFormat="false" ht="15" hidden="false" customHeight="false" outlineLevel="0" collapsed="false">
      <c r="A7" s="0" t="s">
        <v>339</v>
      </c>
      <c r="B7" s="0" t="s">
        <v>340</v>
      </c>
      <c r="C7" s="8" t="n">
        <f aca="false">'Export-dataset'!M4</f>
        <v>2679</v>
      </c>
      <c r="D7" s="8" t="n">
        <f aca="false">'Export-dataset'!M5</f>
        <v>3031</v>
      </c>
      <c r="E7" s="8" t="n">
        <f aca="false">'Export-dataset'!M6</f>
        <v>3377</v>
      </c>
      <c r="F7" s="8" t="n">
        <f aca="false">'Export-dataset'!M7</f>
        <v>3582</v>
      </c>
      <c r="G7" s="8" t="n">
        <f aca="false">'Export-dataset'!M8</f>
        <v>3283</v>
      </c>
      <c r="H7" s="8" t="n">
        <f aca="false">'Export-dataset'!M9</f>
        <v>2523</v>
      </c>
      <c r="I7" s="8" t="n">
        <f aca="false">'Export-dataset'!M10</f>
        <v>2572</v>
      </c>
      <c r="J7" s="8" t="n">
        <f aca="false">'Export-dataset'!M11</f>
        <v>2548</v>
      </c>
      <c r="K7" s="8" t="n">
        <f aca="false">'Export-dataset'!M12</f>
        <v>3179</v>
      </c>
      <c r="L7" s="8" t="n">
        <f aca="false">'Export-dataset'!M13</f>
        <v>3066</v>
      </c>
    </row>
    <row r="8" customFormat="false" ht="15" hidden="false" customHeight="false" outlineLevel="0" collapsed="false">
      <c r="A8" s="0" t="s">
        <v>345</v>
      </c>
      <c r="B8" s="0" t="s">
        <v>346</v>
      </c>
      <c r="C8" s="8" t="n">
        <f aca="false">'Export-dataset'!P4</f>
        <v>83621</v>
      </c>
      <c r="D8" s="8" t="n">
        <f aca="false">'Export-dataset'!P5</f>
        <v>99473</v>
      </c>
      <c r="E8" s="8" t="n">
        <f aca="false">'Export-dataset'!P6</f>
        <v>106879</v>
      </c>
      <c r="F8" s="8" t="n">
        <f aca="false">'Export-dataset'!P7</f>
        <v>136415</v>
      </c>
      <c r="G8" s="8" t="n">
        <f aca="false">'Export-dataset'!P8</f>
        <v>151968</v>
      </c>
      <c r="H8" s="8" t="n">
        <f aca="false">'Export-dataset'!P9</f>
        <v>198179</v>
      </c>
      <c r="I8" s="8" t="n">
        <f aca="false">'Export-dataset'!P10</f>
        <v>188296</v>
      </c>
      <c r="J8" s="8" t="n">
        <f aca="false">'Export-dataset'!P11</f>
        <v>202961</v>
      </c>
      <c r="K8" s="8" t="n">
        <f aca="false">'Export-dataset'!P12</f>
        <v>179588</v>
      </c>
      <c r="L8" s="8" t="n">
        <f aca="false">'Export-dataset'!P13</f>
        <v>180651</v>
      </c>
    </row>
    <row r="9" customFormat="false" ht="15" hidden="false" customHeight="false" outlineLevel="0" collapsed="false">
      <c r="A9" s="0" t="s">
        <v>365</v>
      </c>
      <c r="B9" s="0" t="s">
        <v>366</v>
      </c>
      <c r="C9" s="8" t="n">
        <f aca="false">'Export-dataset'!Z4</f>
        <v>67702</v>
      </c>
      <c r="D9" s="8" t="n">
        <f aca="false">'Export-dataset'!Z5</f>
        <v>91149</v>
      </c>
      <c r="E9" s="8" t="n">
        <f aca="false">'Export-dataset'!Z6</f>
        <v>122269</v>
      </c>
      <c r="F9" s="8" t="n">
        <f aca="false">'Export-dataset'!Z7</f>
        <v>126288</v>
      </c>
      <c r="G9" s="8" t="n">
        <f aca="false">'Export-dataset'!Z8</f>
        <v>88821</v>
      </c>
      <c r="H9" s="8" t="n">
        <f aca="false">'Export-dataset'!Z9</f>
        <v>126395</v>
      </c>
      <c r="I9" s="8" t="n">
        <f aca="false">'Export-dataset'!Z10</f>
        <v>251334</v>
      </c>
      <c r="J9" s="8" t="n">
        <f aca="false">'Export-dataset'!Z11</f>
        <v>195549</v>
      </c>
      <c r="K9" s="8" t="n">
        <f aca="false">'Export-dataset'!Z12</f>
        <v>170842</v>
      </c>
      <c r="L9" s="8" t="n">
        <f aca="false">'Export-dataset'!Z13</f>
        <v>140181</v>
      </c>
    </row>
    <row r="10" customFormat="false" ht="15" hidden="false" customHeight="false" outlineLevel="0" collapsed="false">
      <c r="A10" s="0" t="s">
        <v>373</v>
      </c>
      <c r="B10" s="0" t="s">
        <v>374</v>
      </c>
      <c r="C10" s="8" t="n">
        <f aca="false">'Export-dataset'!AD4</f>
        <v>675</v>
      </c>
      <c r="D10" s="8" t="n">
        <f aca="false">'Export-dataset'!AD5</f>
        <v>680</v>
      </c>
      <c r="E10" s="8" t="n">
        <f aca="false">'Export-dataset'!AD6</f>
        <v>663</v>
      </c>
      <c r="F10" s="8" t="n">
        <f aca="false">'Export-dataset'!AD7</f>
        <v>647</v>
      </c>
      <c r="G10" s="8" t="n">
        <f aca="false">'Export-dataset'!AD8</f>
        <v>761</v>
      </c>
      <c r="H10" s="8" t="n">
        <f aca="false">'Export-dataset'!AD9</f>
        <v>1085</v>
      </c>
      <c r="I10" s="8" t="n">
        <f aca="false">'Export-dataset'!AD10</f>
        <v>1682</v>
      </c>
      <c r="J10" s="8" t="n">
        <f aca="false">'Export-dataset'!AD11</f>
        <v>1609</v>
      </c>
      <c r="K10" s="8" t="n">
        <f aca="false">'Export-dataset'!AD12</f>
        <v>1397</v>
      </c>
      <c r="L10" s="8" t="n">
        <f aca="false">'Export-dataset'!AD13</f>
        <v>1806</v>
      </c>
    </row>
    <row r="11" customFormat="false" ht="15" hidden="false" customHeight="false" outlineLevel="0" collapsed="false">
      <c r="A11" s="0" t="s">
        <v>381</v>
      </c>
      <c r="B11" s="0" t="s">
        <v>382</v>
      </c>
      <c r="C11" s="8" t="n">
        <f aca="false">'Export-dataset'!AH4</f>
        <v>8367</v>
      </c>
      <c r="D11" s="8" t="n">
        <f aca="false">'Export-dataset'!AH5</f>
        <v>8643</v>
      </c>
      <c r="E11" s="8" t="n">
        <f aca="false">'Export-dataset'!AH6</f>
        <v>10510</v>
      </c>
      <c r="F11" s="8" t="n">
        <f aca="false">'Export-dataset'!AH7</f>
        <v>11971</v>
      </c>
      <c r="G11" s="8" t="n">
        <f aca="false">'Export-dataset'!AH8</f>
        <v>11092</v>
      </c>
      <c r="H11" s="8" t="n">
        <f aca="false">'Export-dataset'!AH9</f>
        <v>10052</v>
      </c>
      <c r="I11" s="8" t="n">
        <f aca="false">'Export-dataset'!AH10</f>
        <v>12575</v>
      </c>
      <c r="J11" s="8" t="n">
        <f aca="false">'Export-dataset'!AH11</f>
        <v>11484</v>
      </c>
      <c r="K11" s="8" t="n">
        <f aca="false">'Export-dataset'!AH12</f>
        <v>12272</v>
      </c>
      <c r="L11" s="8" t="n">
        <f aca="false">'Export-dataset'!AH13</f>
        <v>12141</v>
      </c>
    </row>
    <row r="12" customFormat="false" ht="15" hidden="false" customHeight="false" outlineLevel="0" collapsed="false">
      <c r="A12" s="0" t="s">
        <v>401</v>
      </c>
      <c r="B12" s="0" t="s">
        <v>402</v>
      </c>
      <c r="C12" s="8" t="n">
        <f aca="false">'Export-dataset'!AR4</f>
        <v>13406</v>
      </c>
      <c r="D12" s="8" t="n">
        <f aca="false">'Export-dataset'!AR5</f>
        <v>14749</v>
      </c>
      <c r="E12" s="8" t="n">
        <f aca="false">'Export-dataset'!AR6</f>
        <v>17031</v>
      </c>
      <c r="F12" s="8" t="n">
        <f aca="false">'Export-dataset'!AR7</f>
        <v>17567</v>
      </c>
      <c r="G12" s="8" t="n">
        <f aca="false">'Export-dataset'!AR8</f>
        <v>14708</v>
      </c>
      <c r="H12" s="8" t="n">
        <f aca="false">'Export-dataset'!AR9</f>
        <v>16703</v>
      </c>
      <c r="I12" s="8" t="n">
        <f aca="false">'Export-dataset'!AR10</f>
        <v>19431</v>
      </c>
      <c r="J12" s="8" t="n">
        <f aca="false">'Export-dataset'!AR11</f>
        <v>19357</v>
      </c>
      <c r="K12" s="8" t="n">
        <f aca="false">'Export-dataset'!AR12</f>
        <v>20515</v>
      </c>
      <c r="L12" s="8" t="n">
        <f aca="false">'Export-dataset'!AR13</f>
        <v>22719</v>
      </c>
    </row>
    <row r="13" customFormat="false" ht="15" hidden="false" customHeight="false" outlineLevel="0" collapsed="false">
      <c r="A13" s="0" t="s">
        <v>421</v>
      </c>
      <c r="B13" s="0" t="s">
        <v>422</v>
      </c>
      <c r="C13" s="8" t="n">
        <f aca="false">'Export-dataset'!BB4</f>
        <v>15387</v>
      </c>
      <c r="D13" s="8" t="n">
        <f aca="false">'Export-dataset'!BB5</f>
        <v>14638</v>
      </c>
      <c r="E13" s="8" t="n">
        <f aca="false">'Export-dataset'!BB6</f>
        <v>15352</v>
      </c>
      <c r="F13" s="8" t="n">
        <f aca="false">'Export-dataset'!BB7</f>
        <v>16992</v>
      </c>
      <c r="G13" s="8" t="n">
        <f aca="false">'Export-dataset'!BB8</f>
        <v>14678</v>
      </c>
      <c r="H13" s="8" t="n">
        <f aca="false">'Export-dataset'!BB9</f>
        <v>14728</v>
      </c>
      <c r="I13" s="8" t="n">
        <f aca="false">'Export-dataset'!BB10</f>
        <v>16516</v>
      </c>
      <c r="J13" s="8" t="n">
        <f aca="false">'Export-dataset'!BB11</f>
        <v>18604</v>
      </c>
      <c r="K13" s="8" t="n">
        <f aca="false">'Export-dataset'!BB12</f>
        <v>20484</v>
      </c>
      <c r="L13" s="8" t="n">
        <f aca="false">'Export-dataset'!BB13</f>
        <v>22210</v>
      </c>
    </row>
    <row r="14" customFormat="false" ht="15" hidden="false" customHeight="false" outlineLevel="0" collapsed="false">
      <c r="A14" s="0" t="s">
        <v>441</v>
      </c>
      <c r="B14" s="0" t="s">
        <v>442</v>
      </c>
      <c r="C14" s="8" t="n">
        <f aca="false">'Export-dataset'!BL4</f>
        <v>6558</v>
      </c>
      <c r="D14" s="8" t="n">
        <f aca="false">'Export-dataset'!BL5</f>
        <v>6857</v>
      </c>
      <c r="E14" s="8" t="n">
        <f aca="false">'Export-dataset'!BL6</f>
        <v>7288</v>
      </c>
      <c r="F14" s="8" t="n">
        <f aca="false">'Export-dataset'!BL7</f>
        <v>8208</v>
      </c>
      <c r="G14" s="8" t="n">
        <f aca="false">'Export-dataset'!BL8</f>
        <v>7376</v>
      </c>
      <c r="H14" s="8" t="n">
        <f aca="false">'Export-dataset'!BL9</f>
        <v>8036</v>
      </c>
      <c r="I14" s="8" t="n">
        <f aca="false">'Export-dataset'!BL10</f>
        <v>9077</v>
      </c>
      <c r="J14" s="8" t="n">
        <f aca="false">'Export-dataset'!BL11</f>
        <v>10517</v>
      </c>
      <c r="K14" s="8" t="n">
        <f aca="false">'Export-dataset'!BL12</f>
        <v>10974</v>
      </c>
      <c r="L14" s="8" t="n">
        <f aca="false">'Export-dataset'!BL13</f>
        <v>11863</v>
      </c>
    </row>
    <row r="15" customFormat="false" ht="15" hidden="false" customHeight="false" outlineLevel="0" collapsed="false">
      <c r="A15" s="0" t="s">
        <v>459</v>
      </c>
      <c r="B15" s="0" t="s">
        <v>460</v>
      </c>
      <c r="C15" s="8" t="n">
        <f aca="false">'Export-dataset'!BU4</f>
        <v>27452</v>
      </c>
      <c r="D15" s="8" t="n">
        <f aca="false">'Export-dataset'!BU5</f>
        <v>25523</v>
      </c>
      <c r="E15" s="8" t="n">
        <f aca="false">'Export-dataset'!BU6</f>
        <v>25975</v>
      </c>
      <c r="F15" s="8" t="n">
        <f aca="false">'Export-dataset'!BU7</f>
        <v>30661</v>
      </c>
      <c r="G15" s="8" t="n">
        <f aca="false">'Export-dataset'!BU8</f>
        <v>34408</v>
      </c>
      <c r="H15" s="8" t="n">
        <f aca="false">'Export-dataset'!BU9</f>
        <v>36933</v>
      </c>
      <c r="I15" s="8" t="n">
        <f aca="false">'Export-dataset'!BU10</f>
        <v>39255</v>
      </c>
      <c r="J15" s="8" t="n">
        <f aca="false">'Export-dataset'!BU11</f>
        <v>41247</v>
      </c>
      <c r="K15" s="8" t="n">
        <f aca="false">'Export-dataset'!BU12</f>
        <v>45169</v>
      </c>
      <c r="L15" s="8" t="n">
        <f aca="false">'Export-dataset'!BU13</f>
        <v>66414</v>
      </c>
    </row>
    <row r="17" customFormat="false" ht="16.15" hidden="false" customHeight="false" outlineLevel="0" collapsed="false">
      <c r="A17" s="2" t="s">
        <v>478</v>
      </c>
    </row>
    <row r="18" customFormat="false" ht="15" hidden="false" customHeight="false" outlineLevel="0" collapsed="false">
      <c r="A18" s="3" t="s">
        <v>311</v>
      </c>
      <c r="B18" s="3" t="s">
        <v>313</v>
      </c>
      <c r="C18" s="7" t="n">
        <v>2017</v>
      </c>
      <c r="D18" s="7" t="n">
        <v>2018</v>
      </c>
      <c r="E18" s="7" t="n">
        <v>2019</v>
      </c>
      <c r="F18" s="7" t="n">
        <v>2020</v>
      </c>
      <c r="G18" s="7" t="n">
        <v>2021</v>
      </c>
      <c r="H18" s="7" t="n">
        <v>2022</v>
      </c>
      <c r="I18" s="7" t="n">
        <v>2023</v>
      </c>
      <c r="J18" s="7" t="n">
        <v>2024</v>
      </c>
      <c r="K18" s="7" t="n">
        <v>2025</v>
      </c>
    </row>
    <row r="19" customFormat="false" ht="15" hidden="false" customHeight="false" outlineLevel="0" collapsed="false">
      <c r="A19" s="0" t="s">
        <v>315</v>
      </c>
      <c r="B19" s="0" t="s">
        <v>317</v>
      </c>
      <c r="C19" s="9" t="n">
        <f aca="false">IFERROR('Export-dataset'!B5/'Export-dataset'!B4-1,"")</f>
        <v>0.121854020416296</v>
      </c>
      <c r="D19" s="9" t="n">
        <f aca="false">IFERROR('Export-dataset'!B6/'Export-dataset'!B5-1,"")</f>
        <v>-0.0362061427478413</v>
      </c>
      <c r="E19" s="9" t="n">
        <f aca="false">IFERROR('Export-dataset'!B7/'Export-dataset'!B6-1,"")</f>
        <v>0.0674208273085537</v>
      </c>
      <c r="F19" s="9" t="n">
        <f aca="false">IFERROR('Export-dataset'!B8/'Export-dataset'!B7-1,"")</f>
        <v>-0.0536800446226992</v>
      </c>
      <c r="G19" s="9" t="n">
        <f aca="false">IFERROR('Export-dataset'!B9/'Export-dataset'!B8-1,"")</f>
        <v>0.222072527225778</v>
      </c>
      <c r="H19" s="9" t="n">
        <f aca="false">IFERROR('Export-dataset'!B10/'Export-dataset'!B9-1,"")</f>
        <v>0.220073495636197</v>
      </c>
      <c r="I19" s="9" t="n">
        <f aca="false">IFERROR('Export-dataset'!B11/'Export-dataset'!B10-1,"")</f>
        <v>0.0306276119122022</v>
      </c>
      <c r="J19" s="9" t="n">
        <f aca="false">IFERROR('Export-dataset'!B12/'Export-dataset'!B11-1,"")</f>
        <v>-0.0399459350855723</v>
      </c>
      <c r="K19" s="9" t="n">
        <f aca="false">IFERROR('Export-dataset'!B13/'Export-dataset'!B12-1,"")</f>
        <v>0.180377459000799</v>
      </c>
    </row>
    <row r="20" customFormat="false" ht="15" hidden="false" customHeight="false" outlineLevel="0" collapsed="false">
      <c r="A20" s="0" t="s">
        <v>339</v>
      </c>
      <c r="B20" s="0" t="s">
        <v>340</v>
      </c>
      <c r="C20" s="9" t="n">
        <f aca="false">IFERROR('Export-dataset'!M5/'Export-dataset'!M4-1,"")</f>
        <v>0.131392310563643</v>
      </c>
      <c r="D20" s="9" t="n">
        <f aca="false">IFERROR('Export-dataset'!M6/'Export-dataset'!M5-1,"")</f>
        <v>0.114153744638733</v>
      </c>
      <c r="E20" s="9" t="n">
        <f aca="false">IFERROR('Export-dataset'!M7/'Export-dataset'!M6-1,"")</f>
        <v>0.0607047675451584</v>
      </c>
      <c r="F20" s="9" t="n">
        <f aca="false">IFERROR('Export-dataset'!M8/'Export-dataset'!M7-1,"")</f>
        <v>-0.0834729201563372</v>
      </c>
      <c r="G20" s="9" t="n">
        <f aca="false">IFERROR('Export-dataset'!M9/'Export-dataset'!M8-1,"")</f>
        <v>-0.23149558330795</v>
      </c>
      <c r="H20" s="9" t="n">
        <f aca="false">IFERROR('Export-dataset'!M10/'Export-dataset'!M9-1,"")</f>
        <v>0.0194213238208483</v>
      </c>
      <c r="I20" s="9" t="n">
        <f aca="false">IFERROR('Export-dataset'!M11/'Export-dataset'!M10-1,"")</f>
        <v>-0.00933125972006221</v>
      </c>
      <c r="J20" s="9" t="n">
        <f aca="false">IFERROR('Export-dataset'!M12/'Export-dataset'!M11-1,"")</f>
        <v>0.247645211930926</v>
      </c>
      <c r="K20" s="9" t="n">
        <f aca="false">IFERROR('Export-dataset'!M13/'Export-dataset'!M12-1,"")</f>
        <v>-0.0355457691097829</v>
      </c>
    </row>
    <row r="21" customFormat="false" ht="15" hidden="false" customHeight="false" outlineLevel="0" collapsed="false">
      <c r="A21" s="0" t="s">
        <v>345</v>
      </c>
      <c r="B21" s="0" t="s">
        <v>346</v>
      </c>
      <c r="C21" s="9" t="n">
        <f aca="false">IFERROR('Export-dataset'!P5/'Export-dataset'!P4-1,"")</f>
        <v>0.189569605721051</v>
      </c>
      <c r="D21" s="9" t="n">
        <f aca="false">IFERROR('Export-dataset'!P6/'Export-dataset'!P5-1,"")</f>
        <v>0.074452363958059</v>
      </c>
      <c r="E21" s="9" t="n">
        <f aca="false">IFERROR('Export-dataset'!P7/'Export-dataset'!P6-1,"")</f>
        <v>0.276349890998232</v>
      </c>
      <c r="F21" s="9" t="n">
        <f aca="false">IFERROR('Export-dataset'!P8/'Export-dataset'!P7-1,"")</f>
        <v>0.114012388666936</v>
      </c>
      <c r="G21" s="9" t="n">
        <f aca="false">IFERROR('Export-dataset'!P9/'Export-dataset'!P8-1,"")</f>
        <v>0.304083754474626</v>
      </c>
      <c r="H21" s="9" t="n">
        <f aca="false">IFERROR('Export-dataset'!P10/'Export-dataset'!P9-1,"")</f>
        <v>-0.049869057771005</v>
      </c>
      <c r="I21" s="9" t="n">
        <f aca="false">IFERROR('Export-dataset'!P11/'Export-dataset'!P10-1,"")</f>
        <v>0.0778826953307559</v>
      </c>
      <c r="J21" s="9" t="n">
        <f aca="false">IFERROR('Export-dataset'!P12/'Export-dataset'!P11-1,"")</f>
        <v>-0.115160055380098</v>
      </c>
      <c r="K21" s="9" t="n">
        <f aca="false">IFERROR('Export-dataset'!P13/'Export-dataset'!P12-1,"")</f>
        <v>0.00591910372630689</v>
      </c>
    </row>
    <row r="22" customFormat="false" ht="15" hidden="false" customHeight="false" outlineLevel="0" collapsed="false">
      <c r="A22" s="0" t="s">
        <v>365</v>
      </c>
      <c r="B22" s="0" t="s">
        <v>366</v>
      </c>
      <c r="C22" s="9" t="n">
        <f aca="false">IFERROR('Export-dataset'!Z5/'Export-dataset'!Z4-1,"")</f>
        <v>0.346326548698709</v>
      </c>
      <c r="D22" s="9" t="n">
        <f aca="false">IFERROR('Export-dataset'!Z6/'Export-dataset'!Z5-1,"")</f>
        <v>0.341418995271479</v>
      </c>
      <c r="E22" s="9" t="n">
        <f aca="false">IFERROR('Export-dataset'!Z7/'Export-dataset'!Z6-1,"")</f>
        <v>0.0328701469710229</v>
      </c>
      <c r="F22" s="9" t="n">
        <f aca="false">IFERROR('Export-dataset'!Z8/'Export-dataset'!Z7-1,"")</f>
        <v>-0.296679019384265</v>
      </c>
      <c r="G22" s="9" t="n">
        <f aca="false">IFERROR('Export-dataset'!Z9/'Export-dataset'!Z8-1,"")</f>
        <v>0.423030589612817</v>
      </c>
      <c r="H22" s="9" t="n">
        <f aca="false">IFERROR('Export-dataset'!Z10/'Export-dataset'!Z9-1,"")</f>
        <v>0.988480556984058</v>
      </c>
      <c r="I22" s="9" t="n">
        <f aca="false">IFERROR('Export-dataset'!Z11/'Export-dataset'!Z10-1,"")</f>
        <v>-0.221955644679988</v>
      </c>
      <c r="J22" s="9" t="n">
        <f aca="false">IFERROR('Export-dataset'!Z12/'Export-dataset'!Z11-1,"")</f>
        <v>-0.126346849127329</v>
      </c>
      <c r="K22" s="9" t="n">
        <f aca="false">IFERROR('Export-dataset'!Z13/'Export-dataset'!Z12-1,"")</f>
        <v>-0.179469919574812</v>
      </c>
    </row>
    <row r="23" customFormat="false" ht="15" hidden="false" customHeight="false" outlineLevel="0" collapsed="false">
      <c r="A23" s="0" t="s">
        <v>373</v>
      </c>
      <c r="B23" s="0" t="s">
        <v>374</v>
      </c>
      <c r="C23" s="9" t="n">
        <f aca="false">IFERROR('Export-dataset'!AD5/'Export-dataset'!AD4-1,"")</f>
        <v>0.00740740740740731</v>
      </c>
      <c r="D23" s="9" t="n">
        <f aca="false">IFERROR('Export-dataset'!AD6/'Export-dataset'!AD5-1,"")</f>
        <v>-0.025</v>
      </c>
      <c r="E23" s="9" t="n">
        <f aca="false">IFERROR('Export-dataset'!AD7/'Export-dataset'!AD6-1,"")</f>
        <v>-0.024132730015083</v>
      </c>
      <c r="F23" s="9" t="n">
        <f aca="false">IFERROR('Export-dataset'!AD8/'Export-dataset'!AD7-1,"")</f>
        <v>0.176197836166924</v>
      </c>
      <c r="G23" s="9" t="n">
        <f aca="false">IFERROR('Export-dataset'!AD9/'Export-dataset'!AD8-1,"")</f>
        <v>0.425755584756899</v>
      </c>
      <c r="H23" s="9" t="n">
        <f aca="false">IFERROR('Export-dataset'!AD10/'Export-dataset'!AD9-1,"")</f>
        <v>0.550230414746544</v>
      </c>
      <c r="I23" s="9" t="n">
        <f aca="false">IFERROR('Export-dataset'!AD11/'Export-dataset'!AD10-1,"")</f>
        <v>-0.0434007134363853</v>
      </c>
      <c r="J23" s="9" t="n">
        <f aca="false">IFERROR('Export-dataset'!AD12/'Export-dataset'!AD11-1,"")</f>
        <v>-0.131758856432567</v>
      </c>
      <c r="K23" s="9" t="n">
        <f aca="false">IFERROR('Export-dataset'!AD13/'Export-dataset'!AD12-1,"")</f>
        <v>0.29277022190408</v>
      </c>
    </row>
    <row r="24" customFormat="false" ht="15" hidden="false" customHeight="false" outlineLevel="0" collapsed="false">
      <c r="A24" s="0" t="s">
        <v>381</v>
      </c>
      <c r="B24" s="0" t="s">
        <v>382</v>
      </c>
      <c r="C24" s="9" t="n">
        <f aca="false">IFERROR('Export-dataset'!AH5/'Export-dataset'!AH4-1,"")</f>
        <v>0.032986733596271</v>
      </c>
      <c r="D24" s="9" t="n">
        <f aca="false">IFERROR('Export-dataset'!AH6/'Export-dataset'!AH5-1,"")</f>
        <v>0.216012958463496</v>
      </c>
      <c r="E24" s="9" t="n">
        <f aca="false">IFERROR('Export-dataset'!AH7/'Export-dataset'!AH6-1,"")</f>
        <v>0.139010466222645</v>
      </c>
      <c r="F24" s="9" t="n">
        <f aca="false">IFERROR('Export-dataset'!AH8/'Export-dataset'!AH7-1,"")</f>
        <v>-0.0734274496700359</v>
      </c>
      <c r="G24" s="9" t="n">
        <f aca="false">IFERROR('Export-dataset'!AH9/'Export-dataset'!AH8-1,"")</f>
        <v>-0.0937612693833394</v>
      </c>
      <c r="H24" s="9" t="n">
        <f aca="false">IFERROR('Export-dataset'!AH10/'Export-dataset'!AH9-1,"")</f>
        <v>0.250994826900119</v>
      </c>
      <c r="I24" s="9" t="n">
        <f aca="false">IFERROR('Export-dataset'!AH11/'Export-dataset'!AH10-1,"")</f>
        <v>-0.0867594433399602</v>
      </c>
      <c r="J24" s="9" t="n">
        <f aca="false">IFERROR('Export-dataset'!AH12/'Export-dataset'!AH11-1,"")</f>
        <v>0.0686172065482411</v>
      </c>
      <c r="K24" s="9" t="n">
        <f aca="false">IFERROR('Export-dataset'!AH13/'Export-dataset'!AH12-1,"")</f>
        <v>-0.0106747066492829</v>
      </c>
    </row>
    <row r="25" customFormat="false" ht="15" hidden="false" customHeight="false" outlineLevel="0" collapsed="false">
      <c r="A25" s="0" t="s">
        <v>401</v>
      </c>
      <c r="B25" s="0" t="s">
        <v>402</v>
      </c>
      <c r="C25" s="9" t="n">
        <f aca="false">IFERROR('Export-dataset'!AR5/'Export-dataset'!AR4-1,"")</f>
        <v>0.10017902431747</v>
      </c>
      <c r="D25" s="9" t="n">
        <f aca="false">IFERROR('Export-dataset'!AR6/'Export-dataset'!AR5-1,"")</f>
        <v>0.154722354057902</v>
      </c>
      <c r="E25" s="9" t="n">
        <f aca="false">IFERROR('Export-dataset'!AR7/'Export-dataset'!AR6-1,"")</f>
        <v>0.0314720216076567</v>
      </c>
      <c r="F25" s="9" t="n">
        <f aca="false">IFERROR('Export-dataset'!AR8/'Export-dataset'!AR7-1,"")</f>
        <v>-0.162748334946206</v>
      </c>
      <c r="G25" s="9" t="n">
        <f aca="false">IFERROR('Export-dataset'!AR9/'Export-dataset'!AR8-1,"")</f>
        <v>0.135640467772641</v>
      </c>
      <c r="H25" s="9" t="n">
        <f aca="false">IFERROR('Export-dataset'!AR10/'Export-dataset'!AR9-1,"")</f>
        <v>0.163323953780758</v>
      </c>
      <c r="I25" s="9" t="n">
        <f aca="false">IFERROR('Export-dataset'!AR11/'Export-dataset'!AR10-1,"")</f>
        <v>-0.00380834748597603</v>
      </c>
      <c r="J25" s="9" t="n">
        <f aca="false">IFERROR('Export-dataset'!AR12/'Export-dataset'!AR11-1,"")</f>
        <v>0.059823319729297</v>
      </c>
      <c r="K25" s="9" t="n">
        <f aca="false">IFERROR('Export-dataset'!AR13/'Export-dataset'!AR12-1,"")</f>
        <v>0.107433585181574</v>
      </c>
    </row>
    <row r="26" customFormat="false" ht="15" hidden="false" customHeight="false" outlineLevel="0" collapsed="false">
      <c r="A26" s="0" t="s">
        <v>421</v>
      </c>
      <c r="B26" s="0" t="s">
        <v>422</v>
      </c>
      <c r="C26" s="9" t="n">
        <f aca="false">IFERROR('Export-dataset'!BB5/'Export-dataset'!BB4-1,"")</f>
        <v>-0.0486774549944758</v>
      </c>
      <c r="D26" s="9" t="n">
        <f aca="false">IFERROR('Export-dataset'!BB6/'Export-dataset'!BB5-1,"")</f>
        <v>0.0487771553490914</v>
      </c>
      <c r="E26" s="9" t="n">
        <f aca="false">IFERROR('Export-dataset'!BB7/'Export-dataset'!BB6-1,"")</f>
        <v>0.106826472120896</v>
      </c>
      <c r="F26" s="9" t="n">
        <f aca="false">IFERROR('Export-dataset'!BB8/'Export-dataset'!BB7-1,"")</f>
        <v>-0.136181732580038</v>
      </c>
      <c r="G26" s="9" t="n">
        <f aca="false">IFERROR('Export-dataset'!BB9/'Export-dataset'!BB8-1,"")</f>
        <v>0.00340645864559197</v>
      </c>
      <c r="H26" s="9" t="n">
        <f aca="false">IFERROR('Export-dataset'!BB10/'Export-dataset'!BB9-1,"")</f>
        <v>0.121401412275937</v>
      </c>
      <c r="I26" s="9" t="n">
        <f aca="false">IFERROR('Export-dataset'!BB11/'Export-dataset'!BB10-1,"")</f>
        <v>0.126422862678615</v>
      </c>
      <c r="J26" s="9" t="n">
        <f aca="false">IFERROR('Export-dataset'!BB12/'Export-dataset'!BB11-1,"")</f>
        <v>0.101053536873791</v>
      </c>
      <c r="K26" s="9" t="n">
        <f aca="false">IFERROR('Export-dataset'!BB13/'Export-dataset'!BB12-1,"")</f>
        <v>0.0842608865455965</v>
      </c>
    </row>
    <row r="27" customFormat="false" ht="15" hidden="false" customHeight="false" outlineLevel="0" collapsed="false">
      <c r="A27" s="0" t="s">
        <v>441</v>
      </c>
      <c r="B27" s="0" t="s">
        <v>442</v>
      </c>
      <c r="C27" s="9" t="n">
        <f aca="false">IFERROR('Export-dataset'!BL5/'Export-dataset'!BL4-1,"")</f>
        <v>0.0455931686489783</v>
      </c>
      <c r="D27" s="9" t="n">
        <f aca="false">IFERROR('Export-dataset'!BL6/'Export-dataset'!BL5-1,"")</f>
        <v>0.0628554761557532</v>
      </c>
      <c r="E27" s="9" t="n">
        <f aca="false">IFERROR('Export-dataset'!BL7/'Export-dataset'!BL6-1,"")</f>
        <v>0.126234906695939</v>
      </c>
      <c r="F27" s="9" t="n">
        <f aca="false">IFERROR('Export-dataset'!BL8/'Export-dataset'!BL7-1,"")</f>
        <v>-0.101364522417154</v>
      </c>
      <c r="G27" s="9" t="n">
        <f aca="false">IFERROR('Export-dataset'!BL9/'Export-dataset'!BL8-1,"")</f>
        <v>0.0894793926247288</v>
      </c>
      <c r="H27" s="9" t="n">
        <f aca="false">IFERROR('Export-dataset'!BL10/'Export-dataset'!BL9-1,"")</f>
        <v>0.12954206072673</v>
      </c>
      <c r="I27" s="9" t="n">
        <f aca="false">IFERROR('Export-dataset'!BL11/'Export-dataset'!BL10-1,"")</f>
        <v>0.158642723366751</v>
      </c>
      <c r="J27" s="9" t="n">
        <f aca="false">IFERROR('Export-dataset'!BL12/'Export-dataset'!BL11-1,"")</f>
        <v>0.0434534563088334</v>
      </c>
      <c r="K27" s="9" t="n">
        <f aca="false">IFERROR('Export-dataset'!BL13/'Export-dataset'!BL12-1,"")</f>
        <v>0.0810096591944596</v>
      </c>
    </row>
    <row r="28" customFormat="false" ht="15" hidden="false" customHeight="false" outlineLevel="0" collapsed="false">
      <c r="A28" s="0" t="s">
        <v>459</v>
      </c>
      <c r="B28" s="0" t="s">
        <v>460</v>
      </c>
      <c r="C28" s="9" t="n">
        <f aca="false">IFERROR('Export-dataset'!BU5/'Export-dataset'!BU4-1,"")</f>
        <v>-0.0702681043275536</v>
      </c>
      <c r="D28" s="9" t="n">
        <f aca="false">IFERROR('Export-dataset'!BU6/'Export-dataset'!BU5-1,"")</f>
        <v>0.0177095169063197</v>
      </c>
      <c r="E28" s="9" t="n">
        <f aca="false">IFERROR('Export-dataset'!BU7/'Export-dataset'!BU6-1,"")</f>
        <v>0.180404234841193</v>
      </c>
      <c r="F28" s="9" t="n">
        <f aca="false">IFERROR('Export-dataset'!BU8/'Export-dataset'!BU7-1,"")</f>
        <v>0.122207364404292</v>
      </c>
      <c r="G28" s="9" t="n">
        <f aca="false">IFERROR('Export-dataset'!BU9/'Export-dataset'!BU8-1,"")</f>
        <v>0.0733840967216926</v>
      </c>
      <c r="H28" s="9" t="n">
        <f aca="false">IFERROR('Export-dataset'!BU10/'Export-dataset'!BU9-1,"")</f>
        <v>0.0628706035253026</v>
      </c>
      <c r="I28" s="9" t="n">
        <f aca="false">IFERROR('Export-dataset'!BU11/'Export-dataset'!BU10-1,"")</f>
        <v>0.0507451280091709</v>
      </c>
      <c r="J28" s="9" t="n">
        <f aca="false">IFERROR('Export-dataset'!BU12/'Export-dataset'!BU11-1,"")</f>
        <v>0.0950857032026571</v>
      </c>
      <c r="K28" s="9" t="n">
        <f aca="false">IFERROR('Export-dataset'!BU13/'Export-dataset'!BU12-1,"")</f>
        <v>0.470344705439571</v>
      </c>
    </row>
    <row r="30" customFormat="false" ht="16.15" hidden="false" customHeight="false" outlineLevel="0" collapsed="false">
      <c r="A30" s="2" t="s">
        <v>479</v>
      </c>
    </row>
    <row r="31" customFormat="false" ht="15" hidden="false" customHeight="false" outlineLevel="0" collapsed="false">
      <c r="A31" s="3" t="s">
        <v>311</v>
      </c>
      <c r="B31" s="3" t="s">
        <v>313</v>
      </c>
      <c r="C31" s="7" t="n">
        <v>2016</v>
      </c>
      <c r="D31" s="7" t="n">
        <v>2017</v>
      </c>
      <c r="E31" s="7" t="n">
        <v>2018</v>
      </c>
      <c r="F31" s="7" t="n">
        <v>2019</v>
      </c>
      <c r="G31" s="7" t="n">
        <v>2020</v>
      </c>
      <c r="H31" s="7" t="n">
        <v>2021</v>
      </c>
      <c r="I31" s="7" t="n">
        <v>2022</v>
      </c>
      <c r="J31" s="7" t="n">
        <v>2023</v>
      </c>
      <c r="K31" s="7" t="n">
        <v>2024</v>
      </c>
      <c r="L31" s="7" t="n">
        <v>2025</v>
      </c>
    </row>
    <row r="32" customFormat="false" ht="15" hidden="false" customHeight="false" outlineLevel="0" collapsed="false">
      <c r="A32" s="0" t="s">
        <v>315</v>
      </c>
      <c r="B32" s="0" t="s">
        <v>317</v>
      </c>
      <c r="C32" s="10" t="n">
        <f aca="false">'Export-dataset'!B4/'Export-dataset'!B4*100</f>
        <v>100</v>
      </c>
      <c r="D32" s="10" t="n">
        <f aca="false">'Export-dataset'!B5/'Export-dataset'!B4*100</f>
        <v>112.18540204163</v>
      </c>
      <c r="E32" s="10" t="n">
        <f aca="false">'Export-dataset'!B6/'Export-dataset'!B4*100</f>
        <v>108.123601361086</v>
      </c>
      <c r="F32" s="10" t="n">
        <f aca="false">'Export-dataset'!B7/'Export-dataset'!B4*100</f>
        <v>115.413384016431</v>
      </c>
      <c r="G32" s="10" t="n">
        <f aca="false">'Export-dataset'!B8/'Export-dataset'!B4*100</f>
        <v>109.217988412372</v>
      </c>
      <c r="H32" s="10" t="n">
        <f aca="false">'Export-dataset'!B9/'Export-dataset'!B4*100</f>
        <v>133.472303117624</v>
      </c>
      <c r="I32" s="10" t="n">
        <f aca="false">'Export-dataset'!B10/'Export-dataset'!B4*100</f>
        <v>162.846019435333</v>
      </c>
      <c r="J32" s="10" t="n">
        <f aca="false">'Export-dataset'!B11/'Export-dataset'!B4*100</f>
        <v>167.833604120045</v>
      </c>
      <c r="K32" s="10" t="n">
        <f aca="false">'Export-dataset'!B12/'Export-dataset'!B4*100</f>
        <v>161.129333864688</v>
      </c>
      <c r="L32" s="10" t="n">
        <f aca="false">'Export-dataset'!B13/'Export-dataset'!B4*100</f>
        <v>190.193433677692</v>
      </c>
    </row>
    <row r="33" customFormat="false" ht="15" hidden="false" customHeight="false" outlineLevel="0" collapsed="false">
      <c r="A33" s="0" t="s">
        <v>339</v>
      </c>
      <c r="B33" s="0" t="s">
        <v>340</v>
      </c>
      <c r="C33" s="10" t="n">
        <f aca="false">'Export-dataset'!M4/'Export-dataset'!M4*100</f>
        <v>100</v>
      </c>
      <c r="D33" s="10" t="n">
        <f aca="false">'Export-dataset'!M5/'Export-dataset'!M4*100</f>
        <v>113.139231056364</v>
      </c>
      <c r="E33" s="10" t="n">
        <f aca="false">'Export-dataset'!M6/'Export-dataset'!M4*100</f>
        <v>126.054497946995</v>
      </c>
      <c r="F33" s="10" t="n">
        <f aca="false">'Export-dataset'!M7/'Export-dataset'!M4*100</f>
        <v>133.706606942889</v>
      </c>
      <c r="G33" s="10" t="n">
        <f aca="false">'Export-dataset'!M8/'Export-dataset'!M4*100</f>
        <v>122.545726017171</v>
      </c>
      <c r="H33" s="10" t="n">
        <f aca="false">'Export-dataset'!M9/'Export-dataset'!M4*100</f>
        <v>94.1769316909295</v>
      </c>
      <c r="I33" s="10" t="n">
        <f aca="false">'Export-dataset'!M10/'Export-dataset'!M4*100</f>
        <v>96.0059723777529</v>
      </c>
      <c r="J33" s="10" t="n">
        <f aca="false">'Export-dataset'!M11/'Export-dataset'!M4*100</f>
        <v>95.110115714819</v>
      </c>
      <c r="K33" s="10" t="n">
        <f aca="false">'Export-dataset'!M12/'Export-dataset'!M4*100</f>
        <v>118.66368047779</v>
      </c>
      <c r="L33" s="10" t="n">
        <f aca="false">'Export-dataset'!M13/'Export-dataset'!M4*100</f>
        <v>114.44568868981</v>
      </c>
    </row>
    <row r="34" customFormat="false" ht="15" hidden="false" customHeight="false" outlineLevel="0" collapsed="false">
      <c r="A34" s="0" t="s">
        <v>345</v>
      </c>
      <c r="B34" s="0" t="s">
        <v>346</v>
      </c>
      <c r="C34" s="10" t="n">
        <f aca="false">'Export-dataset'!P4/'Export-dataset'!P4*100</f>
        <v>100</v>
      </c>
      <c r="D34" s="10" t="n">
        <f aca="false">'Export-dataset'!P5/'Export-dataset'!P4*100</f>
        <v>118.956960572105</v>
      </c>
      <c r="E34" s="10" t="n">
        <f aca="false">'Export-dataset'!P6/'Export-dataset'!P4*100</f>
        <v>127.813587495964</v>
      </c>
      <c r="F34" s="10" t="n">
        <f aca="false">'Export-dataset'!P7/'Export-dataset'!P4*100</f>
        <v>163.134858468567</v>
      </c>
      <c r="G34" s="10" t="n">
        <f aca="false">'Export-dataset'!P8/'Export-dataset'!P4*100</f>
        <v>181.73425335741</v>
      </c>
      <c r="H34" s="10" t="n">
        <f aca="false">'Export-dataset'!P9/'Export-dataset'!P4*100</f>
        <v>236.996687434975</v>
      </c>
      <c r="I34" s="10" t="n">
        <f aca="false">'Export-dataset'!P10/'Export-dataset'!P4*100</f>
        <v>225.177885937743</v>
      </c>
      <c r="J34" s="10" t="n">
        <f aca="false">'Export-dataset'!P11/'Export-dataset'!P4*100</f>
        <v>242.715346623456</v>
      </c>
      <c r="K34" s="10" t="n">
        <f aca="false">'Export-dataset'!P12/'Export-dataset'!P4*100</f>
        <v>214.764233864699</v>
      </c>
      <c r="L34" s="10" t="n">
        <f aca="false">'Export-dataset'!P13/'Export-dataset'!P4*100</f>
        <v>216.035445641645</v>
      </c>
    </row>
    <row r="35" customFormat="false" ht="15" hidden="false" customHeight="false" outlineLevel="0" collapsed="false">
      <c r="A35" s="0" t="s">
        <v>365</v>
      </c>
      <c r="B35" s="0" t="s">
        <v>366</v>
      </c>
      <c r="C35" s="10" t="n">
        <f aca="false">'Export-dataset'!Z4/'Export-dataset'!Z4*100</f>
        <v>100</v>
      </c>
      <c r="D35" s="10" t="n">
        <f aca="false">'Export-dataset'!Z5/'Export-dataset'!Z4*100</f>
        <v>134.632654869871</v>
      </c>
      <c r="E35" s="10" t="n">
        <f aca="false">'Export-dataset'!Z6/'Export-dataset'!Z4*100</f>
        <v>180.598800626274</v>
      </c>
      <c r="F35" s="10" t="n">
        <f aca="false">'Export-dataset'!Z7/'Export-dataset'!Z4*100</f>
        <v>186.53510974565</v>
      </c>
      <c r="G35" s="10" t="n">
        <f aca="false">'Export-dataset'!Z8/'Export-dataset'!Z4*100</f>
        <v>131.194056305574</v>
      </c>
      <c r="H35" s="10" t="n">
        <f aca="false">'Export-dataset'!Z9/'Export-dataset'!Z4*100</f>
        <v>186.693155298219</v>
      </c>
      <c r="I35" s="10" t="n">
        <f aca="false">'Export-dataset'!Z10/'Export-dataset'!Z4*100</f>
        <v>371.235709432513</v>
      </c>
      <c r="J35" s="10" t="n">
        <f aca="false">'Export-dataset'!Z11/'Export-dataset'!Z4*100</f>
        <v>288.837848217187</v>
      </c>
      <c r="K35" s="10" t="n">
        <f aca="false">'Export-dataset'!Z12/'Export-dataset'!Z4*100</f>
        <v>252.344096186228</v>
      </c>
      <c r="L35" s="10" t="n">
        <f aca="false">'Export-dataset'!Z13/'Export-dataset'!Z4*100</f>
        <v>207.055921538507</v>
      </c>
    </row>
    <row r="36" customFormat="false" ht="15" hidden="false" customHeight="false" outlineLevel="0" collapsed="false">
      <c r="A36" s="0" t="s">
        <v>373</v>
      </c>
      <c r="B36" s="0" t="s">
        <v>374</v>
      </c>
      <c r="C36" s="10" t="n">
        <f aca="false">'Export-dataset'!AD4/'Export-dataset'!AD4*100</f>
        <v>100</v>
      </c>
      <c r="D36" s="10" t="n">
        <f aca="false">'Export-dataset'!AD5/'Export-dataset'!AD4*100</f>
        <v>100.740740740741</v>
      </c>
      <c r="E36" s="10" t="n">
        <f aca="false">'Export-dataset'!AD6/'Export-dataset'!AD4*100</f>
        <v>98.2222222222222</v>
      </c>
      <c r="F36" s="10" t="n">
        <f aca="false">'Export-dataset'!AD7/'Export-dataset'!AD4*100</f>
        <v>95.8518518518519</v>
      </c>
      <c r="G36" s="10" t="n">
        <f aca="false">'Export-dataset'!AD8/'Export-dataset'!AD4*100</f>
        <v>112.740740740741</v>
      </c>
      <c r="H36" s="10" t="n">
        <f aca="false">'Export-dataset'!AD9/'Export-dataset'!AD4*100</f>
        <v>160.740740740741</v>
      </c>
      <c r="I36" s="10" t="n">
        <f aca="false">'Export-dataset'!AD10/'Export-dataset'!AD4*100</f>
        <v>249.185185185185</v>
      </c>
      <c r="J36" s="10" t="n">
        <f aca="false">'Export-dataset'!AD11/'Export-dataset'!AD4*100</f>
        <v>238.37037037037</v>
      </c>
      <c r="K36" s="10" t="n">
        <f aca="false">'Export-dataset'!AD12/'Export-dataset'!AD4*100</f>
        <v>206.962962962963</v>
      </c>
      <c r="L36" s="10" t="n">
        <f aca="false">'Export-dataset'!AD13/'Export-dataset'!AD4*100</f>
        <v>267.555555555556</v>
      </c>
    </row>
    <row r="37" customFormat="false" ht="15" hidden="false" customHeight="false" outlineLevel="0" collapsed="false">
      <c r="A37" s="0" t="s">
        <v>381</v>
      </c>
      <c r="B37" s="0" t="s">
        <v>382</v>
      </c>
      <c r="C37" s="10" t="n">
        <f aca="false">'Export-dataset'!AH4/'Export-dataset'!AH4*100</f>
        <v>100</v>
      </c>
      <c r="D37" s="10" t="n">
        <f aca="false">'Export-dataset'!AH5/'Export-dataset'!AH4*100</f>
        <v>103.298673359627</v>
      </c>
      <c r="E37" s="10" t="n">
        <f aca="false">'Export-dataset'!AH6/'Export-dataset'!AH4*100</f>
        <v>125.612525397395</v>
      </c>
      <c r="F37" s="10" t="n">
        <f aca="false">'Export-dataset'!AH7/'Export-dataset'!AH4*100</f>
        <v>143.07398111629</v>
      </c>
      <c r="G37" s="10" t="n">
        <f aca="false">'Export-dataset'!AH8/'Export-dataset'!AH4*100</f>
        <v>132.568423568782</v>
      </c>
      <c r="H37" s="10" t="n">
        <f aca="false">'Export-dataset'!AH9/'Export-dataset'!AH4*100</f>
        <v>120.138639894825</v>
      </c>
      <c r="I37" s="10" t="n">
        <f aca="false">'Export-dataset'!AH10/'Export-dataset'!AH4*100</f>
        <v>150.292817019242</v>
      </c>
      <c r="J37" s="10" t="n">
        <f aca="false">'Export-dataset'!AH11/'Export-dataset'!AH4*100</f>
        <v>137.253495876658</v>
      </c>
      <c r="K37" s="10" t="n">
        <f aca="false">'Export-dataset'!AH12/'Export-dataset'!AH4*100</f>
        <v>146.671447352695</v>
      </c>
      <c r="L37" s="10" t="n">
        <f aca="false">'Export-dataset'!AH13/'Export-dataset'!AH4*100</f>
        <v>145.105772678379</v>
      </c>
    </row>
    <row r="38" customFormat="false" ht="15" hidden="false" customHeight="false" outlineLevel="0" collapsed="false">
      <c r="A38" s="0" t="s">
        <v>401</v>
      </c>
      <c r="B38" s="0" t="s">
        <v>402</v>
      </c>
      <c r="C38" s="10" t="n">
        <f aca="false">'Export-dataset'!AR4/'Export-dataset'!AR4*100</f>
        <v>100</v>
      </c>
      <c r="D38" s="10" t="n">
        <f aca="false">'Export-dataset'!AR5/'Export-dataset'!AR4*100</f>
        <v>110.017902431747</v>
      </c>
      <c r="E38" s="10" t="n">
        <f aca="false">'Export-dataset'!AR6/'Export-dataset'!AR4*100</f>
        <v>127.040131284499</v>
      </c>
      <c r="F38" s="10" t="n">
        <f aca="false">'Export-dataset'!AR7/'Export-dataset'!AR4*100</f>
        <v>131.038341041325</v>
      </c>
      <c r="G38" s="10" t="n">
        <f aca="false">'Export-dataset'!AR8/'Export-dataset'!AR4*100</f>
        <v>109.712069222736</v>
      </c>
      <c r="H38" s="10" t="n">
        <f aca="false">'Export-dataset'!AR9/'Export-dataset'!AR4*100</f>
        <v>124.593465612412</v>
      </c>
      <c r="I38" s="10" t="n">
        <f aca="false">'Export-dataset'!AR10/'Export-dataset'!AR4*100</f>
        <v>144.942563031478</v>
      </c>
      <c r="J38" s="10" t="n">
        <f aca="false">'Export-dataset'!AR11/'Export-dataset'!AR4*100</f>
        <v>144.390571385947</v>
      </c>
      <c r="K38" s="10" t="n">
        <f aca="false">'Export-dataset'!AR12/'Export-dataset'!AR4*100</f>
        <v>153.028494703864</v>
      </c>
      <c r="L38" s="10" t="n">
        <f aca="false">'Export-dataset'!AR13/'Export-dataset'!AR4*100</f>
        <v>169.46889452484</v>
      </c>
    </row>
    <row r="39" customFormat="false" ht="15" hidden="false" customHeight="false" outlineLevel="0" collapsed="false">
      <c r="A39" s="0" t="s">
        <v>421</v>
      </c>
      <c r="B39" s="0" t="s">
        <v>422</v>
      </c>
      <c r="C39" s="10" t="n">
        <f aca="false">'Export-dataset'!BB4/'Export-dataset'!BB4*100</f>
        <v>100</v>
      </c>
      <c r="D39" s="10" t="n">
        <f aca="false">'Export-dataset'!BB5/'Export-dataset'!BB4*100</f>
        <v>95.1322545005524</v>
      </c>
      <c r="E39" s="10" t="n">
        <f aca="false">'Export-dataset'!BB6/'Export-dataset'!BB4*100</f>
        <v>99.7725352570352</v>
      </c>
      <c r="F39" s="10" t="n">
        <f aca="false">'Export-dataset'!BB7/'Export-dataset'!BB4*100</f>
        <v>110.430883213102</v>
      </c>
      <c r="G39" s="10" t="n">
        <f aca="false">'Export-dataset'!BB8/'Export-dataset'!BB4*100</f>
        <v>95.392214206798</v>
      </c>
      <c r="H39" s="10" t="n">
        <f aca="false">'Export-dataset'!BB9/'Export-dataset'!BB4*100</f>
        <v>95.7171638396049</v>
      </c>
      <c r="I39" s="10" t="n">
        <f aca="false">'Export-dataset'!BB10/'Export-dataset'!BB4*100</f>
        <v>107.33736270878</v>
      </c>
      <c r="J39" s="10" t="n">
        <f aca="false">'Export-dataset'!BB11/'Export-dataset'!BB4*100</f>
        <v>120.907259374797</v>
      </c>
      <c r="K39" s="10" t="n">
        <f aca="false">'Export-dataset'!BB12/'Export-dataset'!BB4*100</f>
        <v>133.125365568337</v>
      </c>
      <c r="L39" s="10" t="n">
        <f aca="false">'Export-dataset'!BB13/'Export-dataset'!BB4*100</f>
        <v>144.342626892832</v>
      </c>
    </row>
    <row r="40" customFormat="false" ht="15" hidden="false" customHeight="false" outlineLevel="0" collapsed="false">
      <c r="A40" s="0" t="s">
        <v>441</v>
      </c>
      <c r="B40" s="0" t="s">
        <v>442</v>
      </c>
      <c r="C40" s="10" t="n">
        <f aca="false">'Export-dataset'!BL4/'Export-dataset'!BL4*100</f>
        <v>100</v>
      </c>
      <c r="D40" s="10" t="n">
        <f aca="false">'Export-dataset'!BL5/'Export-dataset'!BL4*100</f>
        <v>104.559316864898</v>
      </c>
      <c r="E40" s="10" t="n">
        <f aca="false">'Export-dataset'!BL6/'Export-dataset'!BL4*100</f>
        <v>111.131442512961</v>
      </c>
      <c r="F40" s="10" t="n">
        <f aca="false">'Export-dataset'!BL7/'Export-dataset'!BL4*100</f>
        <v>125.16010978957</v>
      </c>
      <c r="G40" s="10" t="n">
        <f aca="false">'Export-dataset'!BL8/'Export-dataset'!BL4*100</f>
        <v>112.473315035072</v>
      </c>
      <c r="H40" s="10" t="n">
        <f aca="false">'Export-dataset'!BL9/'Export-dataset'!BL4*100</f>
        <v>122.5373589509</v>
      </c>
      <c r="I40" s="10" t="n">
        <f aca="false">'Export-dataset'!BL10/'Export-dataset'!BL4*100</f>
        <v>138.41110094541</v>
      </c>
      <c r="J40" s="10" t="n">
        <f aca="false">'Export-dataset'!BL11/'Export-dataset'!BL4*100</f>
        <v>160.36901494358</v>
      </c>
      <c r="K40" s="10" t="n">
        <f aca="false">'Export-dataset'!BL12/'Export-dataset'!BL4*100</f>
        <v>167.337602927722</v>
      </c>
      <c r="L40" s="10" t="n">
        <f aca="false">'Export-dataset'!BL13/'Export-dataset'!BL4*100</f>
        <v>180.893565111314</v>
      </c>
    </row>
    <row r="41" customFormat="false" ht="15" hidden="false" customHeight="false" outlineLevel="0" collapsed="false">
      <c r="A41" s="0" t="s">
        <v>459</v>
      </c>
      <c r="B41" s="0" t="s">
        <v>460</v>
      </c>
      <c r="C41" s="10" t="n">
        <f aca="false">'Export-dataset'!BU4/'Export-dataset'!BU4*100</f>
        <v>100</v>
      </c>
      <c r="D41" s="10" t="n">
        <f aca="false">'Export-dataset'!BU5/'Export-dataset'!BU4*100</f>
        <v>92.9731895672447</v>
      </c>
      <c r="E41" s="10" t="n">
        <f aca="false">'Export-dataset'!BU6/'Export-dataset'!BU4*100</f>
        <v>94.6196998397202</v>
      </c>
      <c r="F41" s="10" t="n">
        <f aca="false">'Export-dataset'!BU7/'Export-dataset'!BU4*100</f>
        <v>111.689494390208</v>
      </c>
      <c r="G41" s="10" t="n">
        <f aca="false">'Export-dataset'!BU8/'Export-dataset'!BU4*100</f>
        <v>125.338773131284</v>
      </c>
      <c r="H41" s="10" t="n">
        <f aca="false">'Export-dataset'!BU9/'Export-dataset'!BU4*100</f>
        <v>134.536645781728</v>
      </c>
      <c r="I41" s="10" t="n">
        <f aca="false">'Export-dataset'!BU10/'Export-dataset'!BU4*100</f>
        <v>142.995045898295</v>
      </c>
      <c r="J41" s="10" t="n">
        <f aca="false">'Export-dataset'!BU11/'Export-dataset'!BU4*100</f>
        <v>150.251347807081</v>
      </c>
      <c r="K41" s="10" t="n">
        <f aca="false">'Export-dataset'!BU12/'Export-dataset'!BU4*100</f>
        <v>164.538102870465</v>
      </c>
      <c r="L41" s="10" t="n">
        <f aca="false">'Export-dataset'!BU13/'Export-dataset'!BU4*100</f>
        <v>241.927728398659</v>
      </c>
    </row>
    <row r="43" customFormat="false" ht="16.15" hidden="false" customHeight="false" outlineLevel="0" collapsed="false">
      <c r="A43" s="2" t="s">
        <v>480</v>
      </c>
    </row>
    <row r="44" customFormat="false" ht="15" hidden="false" customHeight="false" outlineLevel="0" collapsed="false">
      <c r="A44" s="3" t="s">
        <v>311</v>
      </c>
      <c r="B44" s="3" t="s">
        <v>313</v>
      </c>
      <c r="C44" s="7" t="n">
        <v>2016</v>
      </c>
      <c r="D44" s="7" t="n">
        <v>2017</v>
      </c>
      <c r="E44" s="7" t="n">
        <v>2018</v>
      </c>
      <c r="F44" s="7" t="n">
        <v>2019</v>
      </c>
      <c r="G44" s="7" t="n">
        <v>2020</v>
      </c>
      <c r="H44" s="7" t="n">
        <v>2021</v>
      </c>
      <c r="I44" s="7" t="n">
        <v>2022</v>
      </c>
      <c r="J44" s="7" t="n">
        <v>2023</v>
      </c>
      <c r="K44" s="7" t="n">
        <v>2024</v>
      </c>
      <c r="L44" s="7" t="n">
        <v>2025</v>
      </c>
    </row>
    <row r="45" customFormat="false" ht="15" hidden="false" customHeight="false" outlineLevel="0" collapsed="false">
      <c r="A45" s="0" t="s">
        <v>315</v>
      </c>
      <c r="B45" s="0" t="s">
        <v>317</v>
      </c>
      <c r="C45" s="9" t="n">
        <f aca="false">'Export-dataset'!B4/'Export-dataset'!CA4</f>
        <v>0.126208558860057</v>
      </c>
      <c r="D45" s="9" t="n">
        <f aca="false">'Export-dataset'!B5/'Export-dataset'!CA5</f>
        <v>0.121446633967624</v>
      </c>
      <c r="E45" s="9" t="n">
        <f aca="false">'Export-dataset'!B6/'Export-dataset'!CA6</f>
        <v>0.102348998157364</v>
      </c>
      <c r="F45" s="9" t="n">
        <f aca="false">'Export-dataset'!B7/'Export-dataset'!CA7</f>
        <v>0.0965406006959313</v>
      </c>
      <c r="G45" s="9" t="n">
        <f aca="false">'Export-dataset'!B8/'Export-dataset'!CA8</f>
        <v>0.0982223594539159</v>
      </c>
      <c r="H45" s="9" t="n">
        <f aca="false">'Export-dataset'!B9/'Export-dataset'!CA9</f>
        <v>0.0950306437813204</v>
      </c>
      <c r="I45" s="9" t="n">
        <f aca="false">'Export-dataset'!B10/'Export-dataset'!CA10</f>
        <v>0.0894513062733113</v>
      </c>
      <c r="J45" s="9" t="n">
        <f aca="false">'Export-dataset'!B11/'Export-dataset'!CA11</f>
        <v>0.098007063797946</v>
      </c>
      <c r="K45" s="9" t="n">
        <f aca="false">'Export-dataset'!B12/'Export-dataset'!CA12</f>
        <v>0.101670654547635</v>
      </c>
      <c r="L45" s="9" t="n">
        <f aca="false">'Export-dataset'!B13/'Export-dataset'!CA13</f>
        <v>0.118606838489155</v>
      </c>
    </row>
    <row r="46" customFormat="false" ht="15" hidden="false" customHeight="false" outlineLevel="0" collapsed="false">
      <c r="A46" s="0" t="s">
        <v>339</v>
      </c>
      <c r="B46" s="0" t="s">
        <v>340</v>
      </c>
      <c r="C46" s="9" t="n">
        <f aca="false">'Export-dataset'!M4/'Export-dataset'!CA4</f>
        <v>0.0103648793472331</v>
      </c>
      <c r="D46" s="9" t="n">
        <f aca="false">'Export-dataset'!M5/'Export-dataset'!CA5</f>
        <v>0.0100586060650308</v>
      </c>
      <c r="E46" s="9" t="n">
        <f aca="false">'Export-dataset'!M6/'Export-dataset'!CA6</f>
        <v>0.0097993412939077</v>
      </c>
      <c r="F46" s="9" t="n">
        <f aca="false">'Export-dataset'!M7/'Export-dataset'!CA7</f>
        <v>0.00918506286203687</v>
      </c>
      <c r="G46" s="9" t="n">
        <f aca="false">'Export-dataset'!M8/'Export-dataset'!CA8</f>
        <v>0.00905085904589665</v>
      </c>
      <c r="H46" s="9" t="n">
        <f aca="false">'Export-dataset'!M9/'Export-dataset'!CA9</f>
        <v>0.00550671369453999</v>
      </c>
      <c r="I46" s="9" t="n">
        <f aca="false">'Export-dataset'!M10/'Export-dataset'!CA10</f>
        <v>0.00433095063692927</v>
      </c>
      <c r="J46" s="9" t="n">
        <f aca="false">'Export-dataset'!M11/'Export-dataset'!CA11</f>
        <v>0.00456121570361407</v>
      </c>
      <c r="K46" s="9" t="n">
        <f aca="false">'Export-dataset'!M12/'Export-dataset'!CA12</f>
        <v>0.00614913836625189</v>
      </c>
      <c r="L46" s="9" t="n">
        <f aca="false">'Export-dataset'!M13/'Export-dataset'!CA13</f>
        <v>0.00586123441496622</v>
      </c>
    </row>
    <row r="47" customFormat="false" ht="15" hidden="false" customHeight="false" outlineLevel="0" collapsed="false">
      <c r="A47" s="0" t="s">
        <v>345</v>
      </c>
      <c r="B47" s="0" t="s">
        <v>346</v>
      </c>
      <c r="C47" s="9" t="n">
        <f aca="false">'Export-dataset'!P4/'Export-dataset'!CA4</f>
        <v>0.323524291114215</v>
      </c>
      <c r="D47" s="9" t="n">
        <f aca="false">'Export-dataset'!P5/'Export-dataset'!CA5</f>
        <v>0.330108782945171</v>
      </c>
      <c r="E47" s="9" t="n">
        <f aca="false">'Export-dataset'!P6/'Export-dataset'!CA6</f>
        <v>0.310140301495872</v>
      </c>
      <c r="F47" s="9" t="n">
        <f aca="false">'Export-dataset'!P7/'Export-dataset'!CA7</f>
        <v>0.349799092776315</v>
      </c>
      <c r="G47" s="9" t="n">
        <f aca="false">'Export-dataset'!P8/'Export-dataset'!CA8</f>
        <v>0.418958558479081</v>
      </c>
      <c r="H47" s="9" t="n">
        <f aca="false">'Export-dataset'!P9/'Export-dataset'!CA9</f>
        <v>0.432546576801523</v>
      </c>
      <c r="I47" s="9" t="n">
        <f aca="false">'Export-dataset'!P10/'Export-dataset'!CA10</f>
        <v>0.317068694063466</v>
      </c>
      <c r="J47" s="9" t="n">
        <f aca="false">'Export-dataset'!P11/'Export-dataset'!CA11</f>
        <v>0.363323744278342</v>
      </c>
      <c r="K47" s="9" t="n">
        <f aca="false">'Export-dataset'!P12/'Export-dataset'!CA12</f>
        <v>0.34737699305393</v>
      </c>
      <c r="L47" s="9" t="n">
        <f aca="false">'Export-dataset'!P13/'Export-dataset'!CA13</f>
        <v>0.345348290377711</v>
      </c>
    </row>
    <row r="48" customFormat="false" ht="15" hidden="false" customHeight="false" outlineLevel="0" collapsed="false">
      <c r="A48" s="0" t="s">
        <v>365</v>
      </c>
      <c r="B48" s="0" t="s">
        <v>366</v>
      </c>
      <c r="C48" s="9" t="n">
        <f aca="false">'Export-dataset'!Z4/'Export-dataset'!CA4</f>
        <v>0.261934700099432</v>
      </c>
      <c r="D48" s="9" t="n">
        <f aca="false">'Export-dataset'!Z5/'Export-dataset'!CA5</f>
        <v>0.302484950254535</v>
      </c>
      <c r="E48" s="9" t="n">
        <f aca="false">'Export-dataset'!Z6/'Export-dataset'!CA6</f>
        <v>0.354798833480841</v>
      </c>
      <c r="F48" s="9" t="n">
        <f aca="false">'Export-dataset'!Z7/'Export-dataset'!CA7</f>
        <v>0.32383116100528</v>
      </c>
      <c r="G48" s="9" t="n">
        <f aca="false">'Export-dataset'!Z8/'Export-dataset'!CA8</f>
        <v>0.244869433845747</v>
      </c>
      <c r="H48" s="9" t="n">
        <f aca="false">'Export-dataset'!Z9/'Export-dataset'!CA9</f>
        <v>0.275870423076252</v>
      </c>
      <c r="I48" s="9" t="n">
        <f aca="false">'Export-dataset'!Z10/'Export-dataset'!CA10</f>
        <v>0.423217397893461</v>
      </c>
      <c r="J48" s="9" t="n">
        <f aca="false">'Export-dataset'!Z11/'Export-dataset'!CA11</f>
        <v>0.350055404091847</v>
      </c>
      <c r="K48" s="9" t="n">
        <f aca="false">'Export-dataset'!Z12/'Export-dataset'!CA12</f>
        <v>0.330459608923311</v>
      </c>
      <c r="L48" s="9" t="n">
        <f aca="false">'Export-dataset'!Z13/'Export-dataset'!CA13</f>
        <v>0.267982290125369</v>
      </c>
    </row>
    <row r="49" customFormat="false" ht="15" hidden="false" customHeight="false" outlineLevel="0" collapsed="false">
      <c r="A49" s="0" t="s">
        <v>373</v>
      </c>
      <c r="B49" s="0" t="s">
        <v>374</v>
      </c>
      <c r="C49" s="9" t="n">
        <f aca="false">'Export-dataset'!AD4/'Export-dataset'!CA4</f>
        <v>0.00261153175042268</v>
      </c>
      <c r="D49" s="9" t="n">
        <f aca="false">'Export-dataset'!AD5/'Export-dataset'!CA5</f>
        <v>0.00225663217559253</v>
      </c>
      <c r="E49" s="9" t="n">
        <f aca="false">'Export-dataset'!AD6/'Export-dataset'!CA6</f>
        <v>0.00192388607576571</v>
      </c>
      <c r="F49" s="9" t="n">
        <f aca="false">'Export-dataset'!AD7/'Export-dataset'!CA7</f>
        <v>0.00165905518473977</v>
      </c>
      <c r="G49" s="9" t="n">
        <f aca="false">'Export-dataset'!AD8/'Export-dataset'!CA8</f>
        <v>0.00209799078097087</v>
      </c>
      <c r="H49" s="9" t="n">
        <f aca="false">'Export-dataset'!AD9/'Export-dataset'!CA9</f>
        <v>0.00236812697525798</v>
      </c>
      <c r="I49" s="9" t="n">
        <f aca="false">'Export-dataset'!AD10/'Export-dataset'!CA10</f>
        <v>0.00283229353472591</v>
      </c>
      <c r="J49" s="9" t="n">
        <f aca="false">'Export-dataset'!AD11/'Export-dataset'!CA11</f>
        <v>0.00288029672963698</v>
      </c>
      <c r="K49" s="9" t="n">
        <f aca="false">'Export-dataset'!AD12/'Export-dataset'!CA12</f>
        <v>0.00270221651388924</v>
      </c>
      <c r="L49" s="9" t="n">
        <f aca="false">'Export-dataset'!AD13/'Export-dataset'!CA13</f>
        <v>0.00345250794306229</v>
      </c>
    </row>
    <row r="50" customFormat="false" ht="15" hidden="false" customHeight="false" outlineLevel="0" collapsed="false">
      <c r="A50" s="0" t="s">
        <v>381</v>
      </c>
      <c r="B50" s="0" t="s">
        <v>382</v>
      </c>
      <c r="C50" s="9" t="n">
        <f aca="false">'Export-dataset'!AH4/'Export-dataset'!CA4</f>
        <v>0.0323713868974616</v>
      </c>
      <c r="D50" s="9" t="n">
        <f aca="false">'Export-dataset'!AH5/'Export-dataset'!CA5</f>
        <v>0.0286824586671268</v>
      </c>
      <c r="E50" s="9" t="n">
        <f aca="false">'Export-dataset'!AH6/'Export-dataset'!CA6</f>
        <v>0.0304978018948682</v>
      </c>
      <c r="F50" s="9" t="n">
        <f aca="false">'Export-dataset'!AH7/'Export-dataset'!CA7</f>
        <v>0.0306963672589177</v>
      </c>
      <c r="G50" s="9" t="n">
        <f aca="false">'Export-dataset'!AH8/'Export-dataset'!CA8</f>
        <v>0.0305793873094991</v>
      </c>
      <c r="H50" s="9" t="n">
        <f aca="false">'Export-dataset'!AH9/'Export-dataset'!CA9</f>
        <v>0.021939550557874</v>
      </c>
      <c r="I50" s="9" t="n">
        <f aca="false">'Export-dataset'!AH10/'Export-dataset'!CA10</f>
        <v>0.0211748461350644</v>
      </c>
      <c r="J50" s="9" t="n">
        <f aca="false">'Export-dataset'!AH11/'Export-dataset'!CA11</f>
        <v>0.0205576927552213</v>
      </c>
      <c r="K50" s="9" t="n">
        <f aca="false">'Export-dataset'!AH12/'Export-dataset'!CA12</f>
        <v>0.0237377244512876</v>
      </c>
      <c r="L50" s="9" t="n">
        <f aca="false">'Export-dataset'!AH13/'Export-dataset'!CA13</f>
        <v>0.0232098000757028</v>
      </c>
    </row>
    <row r="51" customFormat="false" ht="15" hidden="false" customHeight="false" outlineLevel="0" collapsed="false">
      <c r="A51" s="0" t="s">
        <v>401</v>
      </c>
      <c r="B51" s="0" t="s">
        <v>402</v>
      </c>
      <c r="C51" s="9" t="n">
        <f aca="false">'Export-dataset'!AR4/'Export-dataset'!CA4</f>
        <v>0.0518669550313577</v>
      </c>
      <c r="D51" s="9" t="n">
        <f aca="false">'Export-dataset'!AR5/'Export-dataset'!CA5</f>
        <v>0.0489456881732563</v>
      </c>
      <c r="E51" s="9" t="n">
        <f aca="false">'Export-dataset'!AR6/'Export-dataset'!CA6</f>
        <v>0.0494203676566603</v>
      </c>
      <c r="F51" s="9" t="n">
        <f aca="false">'Export-dataset'!AR7/'Export-dataset'!CA7</f>
        <v>0.0450457842817984</v>
      </c>
      <c r="G51" s="9" t="n">
        <f aca="false">'Export-dataset'!AR8/'Export-dataset'!CA8</f>
        <v>0.0405482896274895</v>
      </c>
      <c r="H51" s="9" t="n">
        <f aca="false">'Export-dataset'!AR9/'Export-dataset'!CA9</f>
        <v>0.0364560597859301</v>
      </c>
      <c r="I51" s="9" t="n">
        <f aca="false">'Export-dataset'!AR10/'Export-dataset'!CA10</f>
        <v>0.0327195574751838</v>
      </c>
      <c r="J51" s="9" t="n">
        <f aca="false">'Export-dataset'!AR11/'Export-dataset'!CA11</f>
        <v>0.0346512764422518</v>
      </c>
      <c r="K51" s="9" t="n">
        <f aca="false">'Export-dataset'!AR12/'Export-dataset'!CA12</f>
        <v>0.0396821558929404</v>
      </c>
      <c r="L51" s="9" t="n">
        <f aca="false">'Export-dataset'!AR13/'Export-dataset'!CA13</f>
        <v>0.0434316323136391</v>
      </c>
    </row>
    <row r="52" customFormat="false" ht="15" hidden="false" customHeight="false" outlineLevel="0" collapsed="false">
      <c r="A52" s="0" t="s">
        <v>421</v>
      </c>
      <c r="B52" s="0" t="s">
        <v>422</v>
      </c>
      <c r="C52" s="9" t="n">
        <f aca="false">'Export-dataset'!BB4/'Export-dataset'!CA4</f>
        <v>0.0595313171018575</v>
      </c>
      <c r="D52" s="9" t="n">
        <f aca="false">'Export-dataset'!BB5/'Export-dataset'!CA5</f>
        <v>0.0485773261563581</v>
      </c>
      <c r="E52" s="9" t="n">
        <f aca="false">'Export-dataset'!BB6/'Export-dataset'!CA6</f>
        <v>0.0445482640047589</v>
      </c>
      <c r="F52" s="9" t="n">
        <f aca="false">'Export-dataset'!BB7/'Export-dataset'!CA7</f>
        <v>0.043571353476195</v>
      </c>
      <c r="G52" s="9" t="n">
        <f aca="false">'Export-dataset'!BB8/'Export-dataset'!CA8</f>
        <v>0.0404655830263999</v>
      </c>
      <c r="H52" s="9" t="n">
        <f aca="false">'Export-dataset'!BB9/'Export-dataset'!CA9</f>
        <v>0.0321454139093084</v>
      </c>
      <c r="I52" s="9" t="n">
        <f aca="false">'Export-dataset'!BB10/'Export-dataset'!CA10</f>
        <v>0.0278110344943716</v>
      </c>
      <c r="J52" s="9" t="n">
        <f aca="false">'Export-dataset'!BB11/'Export-dataset'!CA11</f>
        <v>0.0333033190541743</v>
      </c>
      <c r="K52" s="9" t="n">
        <f aca="false">'Export-dataset'!BB12/'Export-dataset'!CA12</f>
        <v>0.0396221926059464</v>
      </c>
      <c r="L52" s="9" t="n">
        <f aca="false">'Export-dataset'!BB13/'Export-dataset'!CA13</f>
        <v>0.042458583286497</v>
      </c>
    </row>
    <row r="53" customFormat="false" ht="15" hidden="false" customHeight="false" outlineLevel="0" collapsed="false">
      <c r="A53" s="0" t="s">
        <v>441</v>
      </c>
      <c r="B53" s="0" t="s">
        <v>442</v>
      </c>
      <c r="C53" s="9" t="n">
        <f aca="false">'Export-dataset'!BL4/'Export-dataset'!CA4</f>
        <v>0.0253724818063288</v>
      </c>
      <c r="D53" s="9" t="n">
        <f aca="false">'Export-dataset'!BL5/'Export-dataset'!CA5</f>
        <v>0.0227554806294676</v>
      </c>
      <c r="E53" s="9" t="n">
        <f aca="false">'Export-dataset'!BL6/'Export-dataset'!CA6</f>
        <v>0.0211482378886584</v>
      </c>
      <c r="F53" s="9" t="n">
        <f aca="false">'Export-dataset'!BL7/'Export-dataset'!CA7</f>
        <v>0.0210471792215518</v>
      </c>
      <c r="G53" s="9" t="n">
        <f aca="false">'Export-dataset'!BL8/'Export-dataset'!CA8</f>
        <v>0.0203347963212104</v>
      </c>
      <c r="H53" s="9" t="n">
        <f aca="false">'Export-dataset'!BL9/'Export-dataset'!CA9</f>
        <v>0.0175394178554591</v>
      </c>
      <c r="I53" s="9" t="n">
        <f aca="false">'Export-dataset'!BL10/'Export-dataset'!CA10</f>
        <v>0.0152846185580898</v>
      </c>
      <c r="J53" s="9" t="n">
        <f aca="false">'Export-dataset'!BL11/'Export-dataset'!CA11</f>
        <v>0.018826650531754</v>
      </c>
      <c r="K53" s="9" t="n">
        <f aca="false">'Export-dataset'!BL12/'Export-dataset'!CA12</f>
        <v>0.0212270035958629</v>
      </c>
      <c r="L53" s="9" t="n">
        <f aca="false">'Export-dataset'!BL13/'Export-dataset'!CA13</f>
        <v>0.0226783509017431</v>
      </c>
    </row>
    <row r="54" customFormat="false" ht="15" hidden="false" customHeight="false" outlineLevel="0" collapsed="false">
      <c r="A54" s="0" t="s">
        <v>459</v>
      </c>
      <c r="B54" s="0" t="s">
        <v>460</v>
      </c>
      <c r="C54" s="9" t="n">
        <f aca="false">'Export-dataset'!BU4/'Export-dataset'!CA4</f>
        <v>0.106210029055709</v>
      </c>
      <c r="D54" s="9" t="n">
        <f aca="false">'Export-dataset'!BU5/'Export-dataset'!CA5</f>
        <v>0.0847000338494826</v>
      </c>
      <c r="E54" s="9" t="n">
        <f aca="false">'Export-dataset'!BU6/'Export-dataset'!CA6</f>
        <v>0.0753739680513036</v>
      </c>
      <c r="F54" s="9" t="n">
        <f aca="false">'Export-dataset'!BU7/'Export-dataset'!CA7</f>
        <v>0.0786217790097466</v>
      </c>
      <c r="G54" s="9" t="n">
        <f aca="false">'Export-dataset'!BU8/'Export-dataset'!CA8</f>
        <v>0.0948589576762753</v>
      </c>
      <c r="H54" s="9" t="n">
        <f aca="false">'Export-dataset'!BU9/'Export-dataset'!CA9</f>
        <v>0.0806101691955789</v>
      </c>
      <c r="I54" s="9" t="n">
        <f aca="false">'Export-dataset'!BU10/'Export-dataset'!CA10</f>
        <v>0.0661008815134753</v>
      </c>
      <c r="J54" s="9" t="n">
        <f aca="false">'Export-dataset'!BU11/'Export-dataset'!CA11</f>
        <v>0.0738369168473192</v>
      </c>
      <c r="K54" s="9" t="n">
        <f aca="false">'Export-dataset'!BU12/'Export-dataset'!CA12</f>
        <v>0.0873703777493651</v>
      </c>
      <c r="L54" s="9" t="n">
        <f aca="false">'Export-dataset'!BU13/'Export-dataset'!CA13</f>
        <v>0.12696282532145</v>
      </c>
    </row>
    <row r="56" customFormat="false" ht="16.15" hidden="false" customHeight="false" outlineLevel="0" collapsed="false">
      <c r="A56" s="2" t="s">
        <v>481</v>
      </c>
    </row>
    <row r="57" customFormat="false" ht="41.75" hidden="false" customHeight="false" outlineLevel="0" collapsed="false">
      <c r="A57" s="3" t="s">
        <v>311</v>
      </c>
      <c r="B57" s="3" t="s">
        <v>313</v>
      </c>
      <c r="C57" s="11" t="s">
        <v>482</v>
      </c>
      <c r="D57" s="11" t="s">
        <v>483</v>
      </c>
      <c r="E57" s="11" t="s">
        <v>484</v>
      </c>
    </row>
    <row r="58" customFormat="false" ht="15" hidden="false" customHeight="false" outlineLevel="0" collapsed="false">
      <c r="A58" s="0" t="s">
        <v>315</v>
      </c>
      <c r="B58" s="0" t="s">
        <v>317</v>
      </c>
      <c r="C58" s="9" t="n">
        <f aca="false">POWER('Export-dataset'!B13/'Export-dataset'!B4,1/9)-1</f>
        <v>0.0740431369421695</v>
      </c>
      <c r="D58" s="8" t="n">
        <f aca="false">'Export-dataset'!B13-'Export-dataset'!B4</f>
        <v>29422</v>
      </c>
      <c r="E58" s="9" t="n">
        <f aca="false">('Export-dataset'!B13-'Export-dataset'!B4)/('Export-dataset'!CA13-'Export-dataset'!CA4)</f>
        <v>0.111182069992329</v>
      </c>
    </row>
    <row r="59" customFormat="false" ht="15" hidden="false" customHeight="false" outlineLevel="0" collapsed="false">
      <c r="A59" s="0" t="s">
        <v>339</v>
      </c>
      <c r="B59" s="0" t="s">
        <v>340</v>
      </c>
      <c r="C59" s="9" t="n">
        <f aca="false">POWER('Export-dataset'!M13/'Export-dataset'!M4,1/9)-1</f>
        <v>0.0151051907398572</v>
      </c>
      <c r="D59" s="8" t="n">
        <f aca="false">'Export-dataset'!M13-'Export-dataset'!M4</f>
        <v>387</v>
      </c>
      <c r="E59" s="9" t="n">
        <f aca="false">('Export-dataset'!M13-'Export-dataset'!M4)/('Export-dataset'!CA13-'Export-dataset'!CA4)</f>
        <v>0.00146242475314497</v>
      </c>
    </row>
    <row r="60" customFormat="false" ht="15" hidden="false" customHeight="false" outlineLevel="0" collapsed="false">
      <c r="A60" s="0" t="s">
        <v>345</v>
      </c>
      <c r="B60" s="0" t="s">
        <v>346</v>
      </c>
      <c r="C60" s="9" t="n">
        <f aca="false">POWER('Export-dataset'!P13/'Export-dataset'!P4,1/9)-1</f>
        <v>0.0893550371193317</v>
      </c>
      <c r="D60" s="8" t="n">
        <f aca="false">'Export-dataset'!P13-'Export-dataset'!P4</f>
        <v>97030</v>
      </c>
      <c r="E60" s="9" t="n">
        <f aca="false">('Export-dataset'!P13-'Export-dataset'!P4)/('Export-dataset'!CA13-'Export-dataset'!CA4)</f>
        <v>0.366664273378957</v>
      </c>
    </row>
    <row r="61" customFormat="false" ht="15" hidden="false" customHeight="false" outlineLevel="0" collapsed="false">
      <c r="A61" s="0" t="s">
        <v>365</v>
      </c>
      <c r="B61" s="0" t="s">
        <v>366</v>
      </c>
      <c r="C61" s="9" t="n">
        <f aca="false">POWER('Export-dataset'!Z13/'Export-dataset'!Z4,1/9)-1</f>
        <v>0.0842285789918713</v>
      </c>
      <c r="D61" s="8" t="n">
        <f aca="false">'Export-dataset'!Z13-'Export-dataset'!Z4</f>
        <v>72479</v>
      </c>
      <c r="E61" s="9" t="n">
        <f aca="false">('Export-dataset'!Z13-'Export-dataset'!Z4)/('Export-dataset'!CA13-'Export-dataset'!CA4)</f>
        <v>0.273889105124533</v>
      </c>
    </row>
    <row r="62" customFormat="false" ht="15" hidden="false" customHeight="false" outlineLevel="0" collapsed="false">
      <c r="A62" s="0" t="s">
        <v>373</v>
      </c>
      <c r="B62" s="0" t="s">
        <v>374</v>
      </c>
      <c r="C62" s="9" t="n">
        <f aca="false">POWER('Export-dataset'!AD13/'Export-dataset'!AD4,1/9)-1</f>
        <v>0.115553598470996</v>
      </c>
      <c r="D62" s="8" t="n">
        <f aca="false">'Export-dataset'!AD13-'Export-dataset'!AD4</f>
        <v>1131</v>
      </c>
      <c r="E62" s="9" t="n">
        <f aca="false">('Export-dataset'!AD13-'Export-dataset'!AD4)/('Export-dataset'!CA13-'Export-dataset'!CA4)</f>
        <v>0.00427390799950119</v>
      </c>
    </row>
    <row r="63" customFormat="false" ht="15" hidden="false" customHeight="false" outlineLevel="0" collapsed="false">
      <c r="A63" s="0" t="s">
        <v>381</v>
      </c>
      <c r="B63" s="0" t="s">
        <v>382</v>
      </c>
      <c r="C63" s="9" t="n">
        <f aca="false">POWER('Export-dataset'!AH13/'Export-dataset'!AH4,1/9)-1</f>
        <v>0.0422333492905407</v>
      </c>
      <c r="D63" s="8" t="n">
        <f aca="false">'Export-dataset'!AH13-'Export-dataset'!AH4</f>
        <v>3774</v>
      </c>
      <c r="E63" s="9" t="n">
        <f aca="false">('Export-dataset'!AH13-'Export-dataset'!AH4)/('Export-dataset'!CA13-'Export-dataset'!CA4)</f>
        <v>0.0142614754996618</v>
      </c>
    </row>
    <row r="64" customFormat="false" ht="15" hidden="false" customHeight="false" outlineLevel="0" collapsed="false">
      <c r="A64" s="0" t="s">
        <v>401</v>
      </c>
      <c r="B64" s="0" t="s">
        <v>402</v>
      </c>
      <c r="C64" s="9" t="n">
        <f aca="false">POWER('Export-dataset'!AR13/'Export-dataset'!AR4,1/9)-1</f>
        <v>0.0603627042634847</v>
      </c>
      <c r="D64" s="8" t="n">
        <f aca="false">'Export-dataset'!AR13-'Export-dataset'!AR4</f>
        <v>9313</v>
      </c>
      <c r="E64" s="9" t="n">
        <f aca="false">('Export-dataset'!AR13-'Export-dataset'!AR4)/('Export-dataset'!CA13-'Export-dataset'!CA4)</f>
        <v>0.0351926659587574</v>
      </c>
    </row>
    <row r="65" customFormat="false" ht="15" hidden="false" customHeight="false" outlineLevel="0" collapsed="false">
      <c r="A65" s="0" t="s">
        <v>421</v>
      </c>
      <c r="B65" s="0" t="s">
        <v>422</v>
      </c>
      <c r="C65" s="9" t="n">
        <f aca="false">POWER('Export-dataset'!BB13/'Export-dataset'!BB4,1/9)-1</f>
        <v>0.041622881724503</v>
      </c>
      <c r="D65" s="8" t="n">
        <f aca="false">'Export-dataset'!BB13-'Export-dataset'!BB4</f>
        <v>6823</v>
      </c>
      <c r="E65" s="9" t="n">
        <f aca="false">('Export-dataset'!BB13-'Export-dataset'!BB4)/('Export-dataset'!CA13-'Export-dataset'!CA4)</f>
        <v>0.0257832663842587</v>
      </c>
    </row>
    <row r="66" customFormat="false" ht="15" hidden="false" customHeight="false" outlineLevel="0" collapsed="false">
      <c r="A66" s="0" t="s">
        <v>441</v>
      </c>
      <c r="B66" s="0" t="s">
        <v>442</v>
      </c>
      <c r="C66" s="9" t="n">
        <f aca="false">POWER('Export-dataset'!BL13/'Export-dataset'!BL4,1/9)-1</f>
        <v>0.0680770138137967</v>
      </c>
      <c r="D66" s="8" t="n">
        <f aca="false">'Export-dataset'!BL13-'Export-dataset'!BL4</f>
        <v>5305</v>
      </c>
      <c r="E66" s="9" t="n">
        <f aca="false">('Export-dataset'!BL13-'Export-dataset'!BL4)/('Export-dataset'!CA13-'Export-dataset'!CA4)</f>
        <v>0.0200469336316126</v>
      </c>
    </row>
    <row r="67" customFormat="false" ht="15" hidden="false" customHeight="false" outlineLevel="0" collapsed="false">
      <c r="A67" s="0" t="s">
        <v>459</v>
      </c>
      <c r="B67" s="0" t="s">
        <v>460</v>
      </c>
      <c r="C67" s="9" t="n">
        <f aca="false">POWER('Export-dataset'!BU13/'Export-dataset'!BU4,1/9)-1</f>
        <v>0.103142809769561</v>
      </c>
      <c r="D67" s="8" t="n">
        <f aca="false">'Export-dataset'!BU13-'Export-dataset'!BU4</f>
        <v>38962</v>
      </c>
      <c r="E67" s="9" t="n">
        <f aca="false">('Export-dataset'!BU13-'Export-dataset'!BU4)/('Export-dataset'!CA13-'Export-dataset'!CA4)</f>
        <v>0.147232540651251</v>
      </c>
    </row>
    <row r="69" customFormat="false" ht="16.15" hidden="false" customHeight="false" outlineLevel="0" collapsed="false">
      <c r="A69" s="2" t="s">
        <v>485</v>
      </c>
    </row>
    <row r="70" customFormat="false" ht="15" hidden="false" customHeight="false" outlineLevel="0" collapsed="false">
      <c r="A70" s="3" t="s">
        <v>311</v>
      </c>
      <c r="B70" s="3" t="s">
        <v>313</v>
      </c>
      <c r="C70" s="7" t="n">
        <v>2016</v>
      </c>
      <c r="D70" s="7" t="n">
        <v>2017</v>
      </c>
      <c r="E70" s="7" t="n">
        <v>2018</v>
      </c>
      <c r="F70" s="7" t="n">
        <v>2019</v>
      </c>
      <c r="G70" s="7" t="n">
        <v>2020</v>
      </c>
      <c r="H70" s="7" t="n">
        <v>2021</v>
      </c>
      <c r="I70" s="7" t="n">
        <v>2022</v>
      </c>
      <c r="J70" s="7" t="n">
        <v>2023</v>
      </c>
      <c r="K70" s="7" t="n">
        <v>2024</v>
      </c>
      <c r="L70" s="7" t="n">
        <v>2025</v>
      </c>
    </row>
    <row r="71" customFormat="false" ht="15" hidden="false" customHeight="false" outlineLevel="0" collapsed="false">
      <c r="A71" s="0" t="s">
        <v>315</v>
      </c>
      <c r="B71" s="0" t="s">
        <v>317</v>
      </c>
      <c r="C71" s="8" t="n">
        <f aca="false">'Import-dataset'!B4</f>
        <v>13977</v>
      </c>
      <c r="D71" s="8" t="n">
        <f aca="false">'Import-dataset'!B5</f>
        <v>14304</v>
      </c>
      <c r="E71" s="8" t="n">
        <f aca="false">'Import-dataset'!B6</f>
        <v>15132</v>
      </c>
      <c r="F71" s="8" t="n">
        <f aca="false">'Import-dataset'!B7</f>
        <v>16938</v>
      </c>
      <c r="G71" s="8" t="n">
        <f aca="false">'Import-dataset'!B8</f>
        <v>17607</v>
      </c>
      <c r="H71" s="8" t="n">
        <f aca="false">'Import-dataset'!B9</f>
        <v>16410</v>
      </c>
      <c r="I71" s="8" t="n">
        <f aca="false">'Import-dataset'!B10</f>
        <v>19518</v>
      </c>
      <c r="J71" s="8" t="n">
        <f aca="false">'Import-dataset'!B11</f>
        <v>19684</v>
      </c>
      <c r="K71" s="8" t="n">
        <f aca="false">'Import-dataset'!B12</f>
        <v>22293</v>
      </c>
      <c r="L71" s="8" t="n">
        <f aca="false">'Import-dataset'!B13</f>
        <v>24515</v>
      </c>
    </row>
    <row r="72" customFormat="false" ht="15" hidden="false" customHeight="false" outlineLevel="0" collapsed="false">
      <c r="A72" s="0" t="s">
        <v>339</v>
      </c>
      <c r="B72" s="0" t="s">
        <v>340</v>
      </c>
      <c r="C72" s="8" t="n">
        <f aca="false">'Import-dataset'!M4</f>
        <v>3271</v>
      </c>
      <c r="D72" s="8" t="n">
        <f aca="false">'Import-dataset'!M5</f>
        <v>3285</v>
      </c>
      <c r="E72" s="8" t="n">
        <f aca="false">'Import-dataset'!M6</f>
        <v>3541</v>
      </c>
      <c r="F72" s="8" t="n">
        <f aca="false">'Import-dataset'!M7</f>
        <v>3798</v>
      </c>
      <c r="G72" s="8" t="n">
        <f aca="false">'Import-dataset'!M8</f>
        <v>3475</v>
      </c>
      <c r="H72" s="8" t="n">
        <f aca="false">'Import-dataset'!M9</f>
        <v>3449</v>
      </c>
      <c r="I72" s="8" t="n">
        <f aca="false">'Import-dataset'!M10</f>
        <v>3850</v>
      </c>
      <c r="J72" s="8" t="n">
        <f aca="false">'Import-dataset'!M11</f>
        <v>3518</v>
      </c>
      <c r="K72" s="8" t="n">
        <f aca="false">'Import-dataset'!M12</f>
        <v>3349</v>
      </c>
      <c r="L72" s="8" t="n">
        <f aca="false">'Import-dataset'!M13</f>
        <v>3378</v>
      </c>
    </row>
    <row r="73" customFormat="false" ht="15" hidden="false" customHeight="false" outlineLevel="0" collapsed="false">
      <c r="A73" s="0" t="s">
        <v>345</v>
      </c>
      <c r="B73" s="0" t="s">
        <v>346</v>
      </c>
      <c r="C73" s="8" t="n">
        <f aca="false">'Import-dataset'!P4</f>
        <v>3206</v>
      </c>
      <c r="D73" s="8" t="n">
        <f aca="false">'Import-dataset'!P5</f>
        <v>3544</v>
      </c>
      <c r="E73" s="8" t="n">
        <f aca="false">'Import-dataset'!P6</f>
        <v>3985</v>
      </c>
      <c r="F73" s="8" t="n">
        <f aca="false">'Import-dataset'!P7</f>
        <v>3138</v>
      </c>
      <c r="G73" s="8" t="n">
        <f aca="false">'Import-dataset'!P8</f>
        <v>3257</v>
      </c>
      <c r="H73" s="8" t="n">
        <f aca="false">'Import-dataset'!P9</f>
        <v>4247</v>
      </c>
      <c r="I73" s="8" t="n">
        <f aca="false">'Import-dataset'!P10</f>
        <v>4653</v>
      </c>
      <c r="J73" s="8" t="n">
        <f aca="false">'Import-dataset'!P11</f>
        <v>3931</v>
      </c>
      <c r="K73" s="8" t="n">
        <f aca="false">'Import-dataset'!P12</f>
        <v>4119</v>
      </c>
      <c r="L73" s="8" t="n">
        <f aca="false">'Import-dataset'!P13</f>
        <v>5285</v>
      </c>
    </row>
    <row r="74" customFormat="false" ht="15" hidden="false" customHeight="false" outlineLevel="0" collapsed="false">
      <c r="A74" s="0" t="s">
        <v>365</v>
      </c>
      <c r="B74" s="0" t="s">
        <v>366</v>
      </c>
      <c r="C74" s="8" t="n">
        <f aca="false">'Import-dataset'!Z4</f>
        <v>23604</v>
      </c>
      <c r="D74" s="8" t="n">
        <f aca="false">'Import-dataset'!Z5</f>
        <v>29805</v>
      </c>
      <c r="E74" s="8" t="n">
        <f aca="false">'Import-dataset'!Z6</f>
        <v>40512</v>
      </c>
      <c r="F74" s="8" t="n">
        <f aca="false">'Import-dataset'!Z7</f>
        <v>38794</v>
      </c>
      <c r="G74" s="8" t="n">
        <f aca="false">'Import-dataset'!Z8</f>
        <v>23108</v>
      </c>
      <c r="H74" s="8" t="n">
        <f aca="false">'Import-dataset'!Z9</f>
        <v>34552</v>
      </c>
      <c r="I74" s="8" t="n">
        <f aca="false">'Import-dataset'!Z10</f>
        <v>65806</v>
      </c>
      <c r="J74" s="8" t="n">
        <f aca="false">'Import-dataset'!Z11</f>
        <v>60651</v>
      </c>
      <c r="K74" s="8" t="n">
        <f aca="false">'Import-dataset'!Z12</f>
        <v>56749</v>
      </c>
      <c r="L74" s="8" t="n">
        <f aca="false">'Import-dataset'!Z13</f>
        <v>53258</v>
      </c>
    </row>
    <row r="75" customFormat="false" ht="15" hidden="false" customHeight="false" outlineLevel="0" collapsed="false">
      <c r="A75" s="0" t="s">
        <v>373</v>
      </c>
      <c r="B75" s="0" t="s">
        <v>374</v>
      </c>
      <c r="C75" s="8" t="n">
        <f aca="false">'Import-dataset'!AD4</f>
        <v>700</v>
      </c>
      <c r="D75" s="8" t="n">
        <f aca="false">'Import-dataset'!AD5</f>
        <v>702</v>
      </c>
      <c r="E75" s="8" t="n">
        <f aca="false">'Import-dataset'!AD6</f>
        <v>756</v>
      </c>
      <c r="F75" s="8" t="n">
        <f aca="false">'Import-dataset'!AD7</f>
        <v>725</v>
      </c>
      <c r="G75" s="8" t="n">
        <f aca="false">'Import-dataset'!AD8</f>
        <v>766</v>
      </c>
      <c r="H75" s="8" t="n">
        <f aca="false">'Import-dataset'!AD9</f>
        <v>831</v>
      </c>
      <c r="I75" s="8" t="n">
        <f aca="false">'Import-dataset'!AD10</f>
        <v>1094</v>
      </c>
      <c r="J75" s="8" t="n">
        <f aca="false">'Import-dataset'!AD11</f>
        <v>988</v>
      </c>
      <c r="K75" s="8" t="n">
        <f aca="false">'Import-dataset'!AD12</f>
        <v>1257</v>
      </c>
      <c r="L75" s="8" t="n">
        <f aca="false">'Import-dataset'!AD13</f>
        <v>1282</v>
      </c>
    </row>
    <row r="76" customFormat="false" ht="15" hidden="false" customHeight="false" outlineLevel="0" collapsed="false">
      <c r="A76" s="0" t="s">
        <v>381</v>
      </c>
      <c r="B76" s="0" t="s">
        <v>382</v>
      </c>
      <c r="C76" s="8" t="n">
        <f aca="false">'Import-dataset'!AH4</f>
        <v>27705</v>
      </c>
      <c r="D76" s="8" t="n">
        <f aca="false">'Import-dataset'!AH5</f>
        <v>28054</v>
      </c>
      <c r="E76" s="8" t="n">
        <f aca="false">'Import-dataset'!AH6</f>
        <v>29837</v>
      </c>
      <c r="F76" s="8" t="n">
        <f aca="false">'Import-dataset'!AH7</f>
        <v>31024</v>
      </c>
      <c r="G76" s="8" t="n">
        <f aca="false">'Import-dataset'!AH8</f>
        <v>33291</v>
      </c>
      <c r="H76" s="8" t="n">
        <f aca="false">'Import-dataset'!AH9</f>
        <v>37021</v>
      </c>
      <c r="I76" s="8" t="n">
        <f aca="false">'Import-dataset'!AH10</f>
        <v>51393</v>
      </c>
      <c r="J76" s="8" t="n">
        <f aca="false">'Import-dataset'!AH11</f>
        <v>42831</v>
      </c>
      <c r="K76" s="8" t="n">
        <f aca="false">'Import-dataset'!AH12</f>
        <v>45032</v>
      </c>
      <c r="L76" s="8" t="n">
        <f aca="false">'Import-dataset'!AH13</f>
        <v>47675</v>
      </c>
    </row>
    <row r="77" customFormat="false" ht="15" hidden="false" customHeight="false" outlineLevel="0" collapsed="false">
      <c r="A77" s="0" t="s">
        <v>401</v>
      </c>
      <c r="B77" s="0" t="s">
        <v>402</v>
      </c>
      <c r="C77" s="8" t="n">
        <f aca="false">'Import-dataset'!AR4</f>
        <v>28223</v>
      </c>
      <c r="D77" s="8" t="n">
        <f aca="false">'Import-dataset'!AR5</f>
        <v>28701</v>
      </c>
      <c r="E77" s="8" t="n">
        <f aca="false">'Import-dataset'!AR6</f>
        <v>32443</v>
      </c>
      <c r="F77" s="8" t="n">
        <f aca="false">'Import-dataset'!AR7</f>
        <v>32286</v>
      </c>
      <c r="G77" s="8" t="n">
        <f aca="false">'Import-dataset'!AR8</f>
        <v>34399</v>
      </c>
      <c r="H77" s="8" t="n">
        <f aca="false">'Import-dataset'!AR9</f>
        <v>36977</v>
      </c>
      <c r="I77" s="8" t="n">
        <f aca="false">'Import-dataset'!AR10</f>
        <v>44021</v>
      </c>
      <c r="J77" s="8" t="n">
        <f aca="false">'Import-dataset'!AR11</f>
        <v>40640</v>
      </c>
      <c r="K77" s="8" t="n">
        <f aca="false">'Import-dataset'!AR12</f>
        <v>43611</v>
      </c>
      <c r="L77" s="8" t="n">
        <f aca="false">'Import-dataset'!AR13</f>
        <v>45872</v>
      </c>
    </row>
    <row r="78" customFormat="false" ht="15" hidden="false" customHeight="false" outlineLevel="0" collapsed="false">
      <c r="A78" s="0" t="s">
        <v>421</v>
      </c>
      <c r="B78" s="0" t="s">
        <v>422</v>
      </c>
      <c r="C78" s="8" t="n">
        <f aca="false">'Import-dataset'!BB4</f>
        <v>103332</v>
      </c>
      <c r="D78" s="8" t="n">
        <f aca="false">'Import-dataset'!BB5</f>
        <v>117933</v>
      </c>
      <c r="E78" s="8" t="n">
        <f aca="false">'Import-dataset'!BB6</f>
        <v>121404</v>
      </c>
      <c r="F78" s="8" t="n">
        <f aca="false">'Import-dataset'!BB7</f>
        <v>123286</v>
      </c>
      <c r="G78" s="8" t="n">
        <f aca="false">'Import-dataset'!BB8</f>
        <v>119746</v>
      </c>
      <c r="H78" s="8" t="n">
        <f aca="false">'Import-dataset'!BB9</f>
        <v>135405</v>
      </c>
      <c r="I78" s="8" t="n">
        <f aca="false">'Import-dataset'!BB10</f>
        <v>156900</v>
      </c>
      <c r="J78" s="8" t="n">
        <f aca="false">'Import-dataset'!BB11</f>
        <v>173355</v>
      </c>
      <c r="K78" s="8" t="n">
        <f aca="false">'Import-dataset'!BB12</f>
        <v>180686</v>
      </c>
      <c r="L78" s="8" t="n">
        <f aca="false">'Import-dataset'!BB13</f>
        <v>190956</v>
      </c>
    </row>
    <row r="79" customFormat="false" ht="15" hidden="false" customHeight="false" outlineLevel="0" collapsed="false">
      <c r="A79" s="0" t="s">
        <v>441</v>
      </c>
      <c r="B79" s="0" t="s">
        <v>442</v>
      </c>
      <c r="C79" s="8" t="n">
        <f aca="false">'Import-dataset'!BL4</f>
        <v>40365</v>
      </c>
      <c r="D79" s="8" t="n">
        <f aca="false">'Import-dataset'!BL5</f>
        <v>40571</v>
      </c>
      <c r="E79" s="8" t="n">
        <f aca="false">'Import-dataset'!BL6</f>
        <v>44299</v>
      </c>
      <c r="F79" s="8" t="n">
        <f aca="false">'Import-dataset'!BL7</f>
        <v>46308</v>
      </c>
      <c r="G79" s="8" t="n">
        <f aca="false">'Import-dataset'!BL8</f>
        <v>46038</v>
      </c>
      <c r="H79" s="8" t="n">
        <f aca="false">'Import-dataset'!BL9</f>
        <v>50131</v>
      </c>
      <c r="I79" s="8" t="n">
        <f aca="false">'Import-dataset'!BL10</f>
        <v>57476</v>
      </c>
      <c r="J79" s="8" t="n">
        <f aca="false">'Import-dataset'!BL11</f>
        <v>55698</v>
      </c>
      <c r="K79" s="8" t="n">
        <f aca="false">'Import-dataset'!BL12</f>
        <v>59310</v>
      </c>
      <c r="L79" s="8" t="n">
        <f aca="false">'Import-dataset'!BL13</f>
        <v>63028</v>
      </c>
    </row>
    <row r="80" customFormat="false" ht="15" hidden="false" customHeight="false" outlineLevel="0" collapsed="false">
      <c r="A80" s="0" t="s">
        <v>459</v>
      </c>
      <c r="B80" s="0" t="s">
        <v>460</v>
      </c>
      <c r="C80" s="8" t="n">
        <f aca="false">'Import-dataset'!BU4</f>
        <v>9962</v>
      </c>
      <c r="D80" s="8" t="n">
        <f aca="false">'Import-dataset'!BU5</f>
        <v>21397</v>
      </c>
      <c r="E80" s="8" t="n">
        <f aca="false">'Import-dataset'!BU6</f>
        <v>12140</v>
      </c>
      <c r="F80" s="8" t="n">
        <f aca="false">'Import-dataset'!BU7</f>
        <v>11251</v>
      </c>
      <c r="G80" s="8" t="n">
        <f aca="false">'Import-dataset'!BU8</f>
        <v>11914</v>
      </c>
      <c r="H80" s="8" t="n">
        <f aca="false">'Import-dataset'!BU9</f>
        <v>11211</v>
      </c>
      <c r="I80" s="8" t="n">
        <f aca="false">'Import-dataset'!BU10</f>
        <v>12292</v>
      </c>
      <c r="J80" s="8" t="n">
        <f aca="false">'Import-dataset'!BU11</f>
        <v>12575</v>
      </c>
      <c r="K80" s="8" t="n">
        <f aca="false">'Import-dataset'!BU12</f>
        <v>13470</v>
      </c>
      <c r="L80" s="8" t="n">
        <f aca="false">'Import-dataset'!BU13</f>
        <v>25622</v>
      </c>
    </row>
    <row r="82" customFormat="false" ht="16.15" hidden="false" customHeight="false" outlineLevel="0" collapsed="false">
      <c r="A82" s="2" t="s">
        <v>486</v>
      </c>
    </row>
    <row r="83" customFormat="false" ht="15" hidden="false" customHeight="false" outlineLevel="0" collapsed="false">
      <c r="A83" s="3" t="s">
        <v>311</v>
      </c>
      <c r="B83" s="3" t="s">
        <v>313</v>
      </c>
      <c r="C83" s="7" t="n">
        <v>2017</v>
      </c>
      <c r="D83" s="7" t="n">
        <v>2018</v>
      </c>
      <c r="E83" s="7" t="n">
        <v>2019</v>
      </c>
      <c r="F83" s="7" t="n">
        <v>2020</v>
      </c>
      <c r="G83" s="7" t="n">
        <v>2021</v>
      </c>
      <c r="H83" s="7" t="n">
        <v>2022</v>
      </c>
      <c r="I83" s="7" t="n">
        <v>2023</v>
      </c>
      <c r="J83" s="7" t="n">
        <v>2024</v>
      </c>
      <c r="K83" s="7" t="n">
        <v>2025</v>
      </c>
    </row>
    <row r="84" customFormat="false" ht="15" hidden="false" customHeight="false" outlineLevel="0" collapsed="false">
      <c r="A84" s="0" t="s">
        <v>315</v>
      </c>
      <c r="B84" s="0" t="s">
        <v>317</v>
      </c>
      <c r="C84" s="9" t="n">
        <f aca="false">IFERROR('Import-dataset'!B5/'Import-dataset'!B4-1,"")</f>
        <v>0.0233955784503113</v>
      </c>
      <c r="D84" s="9" t="n">
        <f aca="false">IFERROR('Import-dataset'!B6/'Import-dataset'!B5-1,"")</f>
        <v>0.0578859060402686</v>
      </c>
      <c r="E84" s="9" t="n">
        <f aca="false">IFERROR('Import-dataset'!B7/'Import-dataset'!B6-1,"")</f>
        <v>0.119349722442506</v>
      </c>
      <c r="F84" s="9" t="n">
        <f aca="false">IFERROR('Import-dataset'!B8/'Import-dataset'!B7-1,"")</f>
        <v>0.0394969890187744</v>
      </c>
      <c r="G84" s="9" t="n">
        <f aca="false">IFERROR('Import-dataset'!B9/'Import-dataset'!B8-1,"")</f>
        <v>-0.0679843244164253</v>
      </c>
      <c r="H84" s="9" t="n">
        <f aca="false">IFERROR('Import-dataset'!B10/'Import-dataset'!B9-1,"")</f>
        <v>0.189396709323583</v>
      </c>
      <c r="I84" s="9" t="n">
        <f aca="false">IFERROR('Import-dataset'!B11/'Import-dataset'!B10-1,"")</f>
        <v>0.00850496977149295</v>
      </c>
      <c r="J84" s="9" t="n">
        <f aca="false">IFERROR('Import-dataset'!B12/'Import-dataset'!B11-1,"")</f>
        <v>0.132544198333672</v>
      </c>
      <c r="K84" s="9" t="n">
        <f aca="false">IFERROR('Import-dataset'!B13/'Import-dataset'!B12-1,"")</f>
        <v>0.0996725429507019</v>
      </c>
    </row>
    <row r="85" customFormat="false" ht="15" hidden="false" customHeight="false" outlineLevel="0" collapsed="false">
      <c r="A85" s="0" t="s">
        <v>339</v>
      </c>
      <c r="B85" s="0" t="s">
        <v>340</v>
      </c>
      <c r="C85" s="9" t="n">
        <f aca="false">IFERROR('Import-dataset'!M5/'Import-dataset'!M4-1,"")</f>
        <v>0.00428003668602872</v>
      </c>
      <c r="D85" s="9" t="n">
        <f aca="false">IFERROR('Import-dataset'!M6/'Import-dataset'!M5-1,"")</f>
        <v>0.0779299847792998</v>
      </c>
      <c r="E85" s="9" t="n">
        <f aca="false">IFERROR('Import-dataset'!M7/'Import-dataset'!M6-1,"")</f>
        <v>0.0725783676927421</v>
      </c>
      <c r="F85" s="9" t="n">
        <f aca="false">IFERROR('Import-dataset'!M8/'Import-dataset'!M7-1,"")</f>
        <v>-0.0850447604002106</v>
      </c>
      <c r="G85" s="9" t="n">
        <f aca="false">IFERROR('Import-dataset'!M9/'Import-dataset'!M8-1,"")</f>
        <v>-0.00748201438848917</v>
      </c>
      <c r="H85" s="9" t="n">
        <f aca="false">IFERROR('Import-dataset'!M10/'Import-dataset'!M9-1,"")</f>
        <v>0.116265584227312</v>
      </c>
      <c r="I85" s="9" t="n">
        <f aca="false">IFERROR('Import-dataset'!M11/'Import-dataset'!M10-1,"")</f>
        <v>-0.0862337662337662</v>
      </c>
      <c r="J85" s="9" t="n">
        <f aca="false">IFERROR('Import-dataset'!M12/'Import-dataset'!M11-1,"")</f>
        <v>-0.0480386583285958</v>
      </c>
      <c r="K85" s="9" t="n">
        <f aca="false">IFERROR('Import-dataset'!M13/'Import-dataset'!M12-1,"")</f>
        <v>0.0086593012839653</v>
      </c>
    </row>
    <row r="86" customFormat="false" ht="15" hidden="false" customHeight="false" outlineLevel="0" collapsed="false">
      <c r="A86" s="0" t="s">
        <v>345</v>
      </c>
      <c r="B86" s="0" t="s">
        <v>346</v>
      </c>
      <c r="C86" s="9" t="n">
        <f aca="false">IFERROR('Import-dataset'!P5/'Import-dataset'!P4-1,"")</f>
        <v>0.105427323767935</v>
      </c>
      <c r="D86" s="9" t="n">
        <f aca="false">IFERROR('Import-dataset'!P6/'Import-dataset'!P5-1,"")</f>
        <v>0.124435665914221</v>
      </c>
      <c r="E86" s="9" t="n">
        <f aca="false">IFERROR('Import-dataset'!P7/'Import-dataset'!P6-1,"")</f>
        <v>-0.212547051442911</v>
      </c>
      <c r="F86" s="9" t="n">
        <f aca="false">IFERROR('Import-dataset'!P8/'Import-dataset'!P7-1,"")</f>
        <v>0.0379222434671767</v>
      </c>
      <c r="G86" s="9" t="n">
        <f aca="false">IFERROR('Import-dataset'!P9/'Import-dataset'!P8-1,"")</f>
        <v>0.303960700030703</v>
      </c>
      <c r="H86" s="9" t="n">
        <f aca="false">IFERROR('Import-dataset'!P10/'Import-dataset'!P9-1,"")</f>
        <v>0.0955968919237109</v>
      </c>
      <c r="I86" s="9" t="n">
        <f aca="false">IFERROR('Import-dataset'!P11/'Import-dataset'!P10-1,"")</f>
        <v>-0.155168708360198</v>
      </c>
      <c r="J86" s="9" t="n">
        <f aca="false">IFERROR('Import-dataset'!P12/'Import-dataset'!P11-1,"")</f>
        <v>0.0478249809208853</v>
      </c>
      <c r="K86" s="9" t="n">
        <f aca="false">IFERROR('Import-dataset'!P13/'Import-dataset'!P12-1,"")</f>
        <v>0.283078417091527</v>
      </c>
    </row>
    <row r="87" customFormat="false" ht="15" hidden="false" customHeight="false" outlineLevel="0" collapsed="false">
      <c r="A87" s="0" t="s">
        <v>365</v>
      </c>
      <c r="B87" s="0" t="s">
        <v>366</v>
      </c>
      <c r="C87" s="9" t="n">
        <f aca="false">IFERROR('Import-dataset'!Z5/'Import-dataset'!Z4-1,"")</f>
        <v>0.262709710218607</v>
      </c>
      <c r="D87" s="9" t="n">
        <f aca="false">IFERROR('Import-dataset'!Z6/'Import-dataset'!Z5-1,"")</f>
        <v>0.359235027679919</v>
      </c>
      <c r="E87" s="9" t="n">
        <f aca="false">IFERROR('Import-dataset'!Z7/'Import-dataset'!Z6-1,"")</f>
        <v>-0.0424071879936809</v>
      </c>
      <c r="F87" s="9" t="n">
        <f aca="false">IFERROR('Import-dataset'!Z8/'Import-dataset'!Z7-1,"")</f>
        <v>-0.404340877455277</v>
      </c>
      <c r="G87" s="9" t="n">
        <f aca="false">IFERROR('Import-dataset'!Z9/'Import-dataset'!Z8-1,"")</f>
        <v>0.495239743811667</v>
      </c>
      <c r="H87" s="9" t="n">
        <f aca="false">IFERROR('Import-dataset'!Z10/'Import-dataset'!Z9-1,"")</f>
        <v>0.904549664274138</v>
      </c>
      <c r="I87" s="9" t="n">
        <f aca="false">IFERROR('Import-dataset'!Z11/'Import-dataset'!Z10-1,"")</f>
        <v>-0.0783363219159348</v>
      </c>
      <c r="J87" s="9" t="n">
        <f aca="false">IFERROR('Import-dataset'!Z12/'Import-dataset'!Z11-1,"")</f>
        <v>-0.0643352953784768</v>
      </c>
      <c r="K87" s="9" t="n">
        <f aca="false">IFERROR('Import-dataset'!Z13/'Import-dataset'!Z12-1,"")</f>
        <v>-0.061516502493436</v>
      </c>
    </row>
    <row r="88" customFormat="false" ht="15" hidden="false" customHeight="false" outlineLevel="0" collapsed="false">
      <c r="A88" s="0" t="s">
        <v>373</v>
      </c>
      <c r="B88" s="0" t="s">
        <v>374</v>
      </c>
      <c r="C88" s="9" t="n">
        <f aca="false">IFERROR('Import-dataset'!AD5/'Import-dataset'!AD4-1,"")</f>
        <v>0.00285714285714289</v>
      </c>
      <c r="D88" s="9" t="n">
        <f aca="false">IFERROR('Import-dataset'!AD6/'Import-dataset'!AD5-1,"")</f>
        <v>0.0769230769230769</v>
      </c>
      <c r="E88" s="9" t="n">
        <f aca="false">IFERROR('Import-dataset'!AD7/'Import-dataset'!AD6-1,"")</f>
        <v>-0.041005291005291</v>
      </c>
      <c r="F88" s="9" t="n">
        <f aca="false">IFERROR('Import-dataset'!AD8/'Import-dataset'!AD7-1,"")</f>
        <v>0.056551724137931</v>
      </c>
      <c r="G88" s="9" t="n">
        <f aca="false">IFERROR('Import-dataset'!AD9/'Import-dataset'!AD8-1,"")</f>
        <v>0.0848563968668408</v>
      </c>
      <c r="H88" s="9" t="n">
        <f aca="false">IFERROR('Import-dataset'!AD10/'Import-dataset'!AD9-1,"")</f>
        <v>0.316486161251504</v>
      </c>
      <c r="I88" s="9" t="n">
        <f aca="false">IFERROR('Import-dataset'!AD11/'Import-dataset'!AD10-1,"")</f>
        <v>-0.096892138939671</v>
      </c>
      <c r="J88" s="9" t="n">
        <f aca="false">IFERROR('Import-dataset'!AD12/'Import-dataset'!AD11-1,"")</f>
        <v>0.272267206477733</v>
      </c>
      <c r="K88" s="9" t="n">
        <f aca="false">IFERROR('Import-dataset'!AD13/'Import-dataset'!AD12-1,"")</f>
        <v>0.0198886237072395</v>
      </c>
    </row>
    <row r="89" customFormat="false" ht="15" hidden="false" customHeight="false" outlineLevel="0" collapsed="false">
      <c r="A89" s="0" t="s">
        <v>381</v>
      </c>
      <c r="B89" s="0" t="s">
        <v>382</v>
      </c>
      <c r="C89" s="9" t="n">
        <f aca="false">IFERROR('Import-dataset'!AH5/'Import-dataset'!AH4-1,"")</f>
        <v>0.0125970041508754</v>
      </c>
      <c r="D89" s="9" t="n">
        <f aca="false">IFERROR('Import-dataset'!AH6/'Import-dataset'!AH5-1,"")</f>
        <v>0.0635559991445069</v>
      </c>
      <c r="E89" s="9" t="n">
        <f aca="false">IFERROR('Import-dataset'!AH7/'Import-dataset'!AH6-1,"")</f>
        <v>0.0397828199886048</v>
      </c>
      <c r="F89" s="9" t="n">
        <f aca="false">IFERROR('Import-dataset'!AH8/'Import-dataset'!AH7-1,"")</f>
        <v>0.0730724600309438</v>
      </c>
      <c r="G89" s="9" t="n">
        <f aca="false">IFERROR('Import-dataset'!AH9/'Import-dataset'!AH8-1,"")</f>
        <v>0.112042293713015</v>
      </c>
      <c r="H89" s="9" t="n">
        <f aca="false">IFERROR('Import-dataset'!AH10/'Import-dataset'!AH9-1,"")</f>
        <v>0.388212095837498</v>
      </c>
      <c r="I89" s="9" t="n">
        <f aca="false">IFERROR('Import-dataset'!AH11/'Import-dataset'!AH10-1,"")</f>
        <v>-0.166598564006771</v>
      </c>
      <c r="J89" s="9" t="n">
        <f aca="false">IFERROR('Import-dataset'!AH12/'Import-dataset'!AH11-1,"")</f>
        <v>0.051388013354813</v>
      </c>
      <c r="K89" s="9" t="n">
        <f aca="false">IFERROR('Import-dataset'!AH13/'Import-dataset'!AH12-1,"")</f>
        <v>0.0586915970865163</v>
      </c>
    </row>
    <row r="90" customFormat="false" ht="15" hidden="false" customHeight="false" outlineLevel="0" collapsed="false">
      <c r="A90" s="0" t="s">
        <v>401</v>
      </c>
      <c r="B90" s="0" t="s">
        <v>402</v>
      </c>
      <c r="C90" s="9" t="n">
        <f aca="false">IFERROR('Import-dataset'!AR5/'Import-dataset'!AR4-1,"")</f>
        <v>0.0169365411189455</v>
      </c>
      <c r="D90" s="9" t="n">
        <f aca="false">IFERROR('Import-dataset'!AR6/'Import-dataset'!AR5-1,"")</f>
        <v>0.130378732448347</v>
      </c>
      <c r="E90" s="9" t="n">
        <f aca="false">IFERROR('Import-dataset'!AR7/'Import-dataset'!AR6-1,"")</f>
        <v>-0.00483925654224326</v>
      </c>
      <c r="F90" s="9" t="n">
        <f aca="false">IFERROR('Import-dataset'!AR8/'Import-dataset'!AR7-1,"")</f>
        <v>0.0654463234838629</v>
      </c>
      <c r="G90" s="9" t="n">
        <f aca="false">IFERROR('Import-dataset'!AR9/'Import-dataset'!AR8-1,"")</f>
        <v>0.0749440390709033</v>
      </c>
      <c r="H90" s="9" t="n">
        <f aca="false">IFERROR('Import-dataset'!AR10/'Import-dataset'!AR9-1,"")</f>
        <v>0.19049679530519</v>
      </c>
      <c r="I90" s="9" t="n">
        <f aca="false">IFERROR('Import-dataset'!AR11/'Import-dataset'!AR10-1,"")</f>
        <v>-0.0768042525158447</v>
      </c>
      <c r="J90" s="9" t="n">
        <f aca="false">IFERROR('Import-dataset'!AR12/'Import-dataset'!AR11-1,"")</f>
        <v>0.07310531496063</v>
      </c>
      <c r="K90" s="9" t="n">
        <f aca="false">IFERROR('Import-dataset'!AR13/'Import-dataset'!AR12-1,"")</f>
        <v>0.0518447180757149</v>
      </c>
    </row>
    <row r="91" customFormat="false" ht="15" hidden="false" customHeight="false" outlineLevel="0" collapsed="false">
      <c r="A91" s="0" t="s">
        <v>421</v>
      </c>
      <c r="B91" s="0" t="s">
        <v>422</v>
      </c>
      <c r="C91" s="9" t="n">
        <f aca="false">IFERROR('Import-dataset'!BB5/'Import-dataset'!BB4-1,"")</f>
        <v>0.141301823249332</v>
      </c>
      <c r="D91" s="9" t="n">
        <f aca="false">IFERROR('Import-dataset'!BB6/'Import-dataset'!BB5-1,"")</f>
        <v>0.0294319656075908</v>
      </c>
      <c r="E91" s="9" t="n">
        <f aca="false">IFERROR('Import-dataset'!BB7/'Import-dataset'!BB6-1,"")</f>
        <v>0.0155019603966919</v>
      </c>
      <c r="F91" s="9" t="n">
        <f aca="false">IFERROR('Import-dataset'!BB8/'Import-dataset'!BB7-1,"")</f>
        <v>-0.0287137225637948</v>
      </c>
      <c r="G91" s="9" t="n">
        <f aca="false">IFERROR('Import-dataset'!BB9/'Import-dataset'!BB8-1,"")</f>
        <v>0.130768459906803</v>
      </c>
      <c r="H91" s="9" t="n">
        <f aca="false">IFERROR('Import-dataset'!BB10/'Import-dataset'!BB9-1,"")</f>
        <v>0.158745984269414</v>
      </c>
      <c r="I91" s="9" t="n">
        <f aca="false">IFERROR('Import-dataset'!BB11/'Import-dataset'!BB10-1,"")</f>
        <v>0.104875717017208</v>
      </c>
      <c r="J91" s="9" t="n">
        <f aca="false">IFERROR('Import-dataset'!BB12/'Import-dataset'!BB11-1,"")</f>
        <v>0.0422889446511494</v>
      </c>
      <c r="K91" s="9" t="n">
        <f aca="false">IFERROR('Import-dataset'!BB13/'Import-dataset'!BB12-1,"")</f>
        <v>0.0568389360548134</v>
      </c>
    </row>
    <row r="92" customFormat="false" ht="15" hidden="false" customHeight="false" outlineLevel="0" collapsed="false">
      <c r="A92" s="0" t="s">
        <v>441</v>
      </c>
      <c r="B92" s="0" t="s">
        <v>442</v>
      </c>
      <c r="C92" s="9" t="n">
        <f aca="false">IFERROR('Import-dataset'!BL5/'Import-dataset'!BL4-1,"")</f>
        <v>0.0051034311903877</v>
      </c>
      <c r="D92" s="9" t="n">
        <f aca="false">IFERROR('Import-dataset'!BL6/'Import-dataset'!BL5-1,"")</f>
        <v>0.0918882945946613</v>
      </c>
      <c r="E92" s="9" t="n">
        <f aca="false">IFERROR('Import-dataset'!BL7/'Import-dataset'!BL6-1,"")</f>
        <v>0.0453509108557755</v>
      </c>
      <c r="F92" s="9" t="n">
        <f aca="false">IFERROR('Import-dataset'!BL8/'Import-dataset'!BL7-1,"")</f>
        <v>-0.00583052604301637</v>
      </c>
      <c r="G92" s="9" t="n">
        <f aca="false">IFERROR('Import-dataset'!BL9/'Import-dataset'!BL8-1,"")</f>
        <v>0.0889048177592424</v>
      </c>
      <c r="H92" s="9" t="n">
        <f aca="false">IFERROR('Import-dataset'!BL10/'Import-dataset'!BL9-1,"")</f>
        <v>0.146516127745307</v>
      </c>
      <c r="I92" s="9" t="n">
        <f aca="false">IFERROR('Import-dataset'!BL11/'Import-dataset'!BL10-1,"")</f>
        <v>-0.0309346509847589</v>
      </c>
      <c r="J92" s="9" t="n">
        <f aca="false">IFERROR('Import-dataset'!BL12/'Import-dataset'!BL11-1,"")</f>
        <v>0.0648497253043197</v>
      </c>
      <c r="K92" s="9" t="n">
        <f aca="false">IFERROR('Import-dataset'!BL13/'Import-dataset'!BL12-1,"")</f>
        <v>0.0626875737649637</v>
      </c>
    </row>
    <row r="93" customFormat="false" ht="15" hidden="false" customHeight="false" outlineLevel="0" collapsed="false">
      <c r="A93" s="0" t="s">
        <v>459</v>
      </c>
      <c r="B93" s="0" t="s">
        <v>460</v>
      </c>
      <c r="C93" s="9" t="n">
        <f aca="false">IFERROR('Import-dataset'!BU5/'Import-dataset'!BU4-1,"")</f>
        <v>1.14786187512548</v>
      </c>
      <c r="D93" s="9" t="n">
        <f aca="false">IFERROR('Import-dataset'!BU6/'Import-dataset'!BU5-1,"")</f>
        <v>-0.432630742627471</v>
      </c>
      <c r="E93" s="9" t="n">
        <f aca="false">IFERROR('Import-dataset'!BU7/'Import-dataset'!BU6-1,"")</f>
        <v>-0.0732289950576607</v>
      </c>
      <c r="F93" s="9" t="n">
        <f aca="false">IFERROR('Import-dataset'!BU8/'Import-dataset'!BU7-1,"")</f>
        <v>0.0589280952804194</v>
      </c>
      <c r="G93" s="9" t="n">
        <f aca="false">IFERROR('Import-dataset'!BU9/'Import-dataset'!BU8-1,"")</f>
        <v>-0.0590062111801242</v>
      </c>
      <c r="H93" s="9" t="n">
        <f aca="false">IFERROR('Import-dataset'!BU10/'Import-dataset'!BU9-1,"")</f>
        <v>0.0964231558290964</v>
      </c>
      <c r="I93" s="9" t="n">
        <f aca="false">IFERROR('Import-dataset'!BU11/'Import-dataset'!BU10-1,"")</f>
        <v>0.0230231044581841</v>
      </c>
      <c r="J93" s="9" t="n">
        <f aca="false">IFERROR('Import-dataset'!BU12/'Import-dataset'!BU11-1,"")</f>
        <v>0.0711729622266402</v>
      </c>
      <c r="K93" s="9" t="n">
        <f aca="false">IFERROR('Import-dataset'!BU13/'Import-dataset'!BU12-1,"")</f>
        <v>0.902152932442465</v>
      </c>
    </row>
    <row r="95" customFormat="false" ht="16.15" hidden="false" customHeight="false" outlineLevel="0" collapsed="false">
      <c r="A95" s="2" t="s">
        <v>487</v>
      </c>
    </row>
    <row r="96" customFormat="false" ht="15" hidden="false" customHeight="false" outlineLevel="0" collapsed="false">
      <c r="A96" s="3" t="s">
        <v>311</v>
      </c>
      <c r="B96" s="3" t="s">
        <v>313</v>
      </c>
      <c r="C96" s="7" t="n">
        <v>2016</v>
      </c>
      <c r="D96" s="7" t="n">
        <v>2017</v>
      </c>
      <c r="E96" s="7" t="n">
        <v>2018</v>
      </c>
      <c r="F96" s="7" t="n">
        <v>2019</v>
      </c>
      <c r="G96" s="7" t="n">
        <v>2020</v>
      </c>
      <c r="H96" s="7" t="n">
        <v>2021</v>
      </c>
      <c r="I96" s="7" t="n">
        <v>2022</v>
      </c>
      <c r="J96" s="7" t="n">
        <v>2023</v>
      </c>
      <c r="K96" s="7" t="n">
        <v>2024</v>
      </c>
      <c r="L96" s="7" t="n">
        <v>2025</v>
      </c>
    </row>
    <row r="97" customFormat="false" ht="15" hidden="false" customHeight="false" outlineLevel="0" collapsed="false">
      <c r="A97" s="0" t="s">
        <v>315</v>
      </c>
      <c r="B97" s="0" t="s">
        <v>317</v>
      </c>
      <c r="C97" s="10" t="n">
        <f aca="false">'Import-dataset'!B4/'Import-dataset'!B4*100</f>
        <v>100</v>
      </c>
      <c r="D97" s="10" t="n">
        <f aca="false">'Import-dataset'!B5/'Import-dataset'!B4*100</f>
        <v>102.339557845031</v>
      </c>
      <c r="E97" s="10" t="n">
        <f aca="false">'Import-dataset'!B6/'Import-dataset'!B4*100</f>
        <v>108.263575874651</v>
      </c>
      <c r="F97" s="10" t="n">
        <f aca="false">'Import-dataset'!B7/'Import-dataset'!B4*100</f>
        <v>121.184803605924</v>
      </c>
      <c r="G97" s="10" t="n">
        <f aca="false">'Import-dataset'!B8/'Import-dataset'!B4*100</f>
        <v>125.97123846319</v>
      </c>
      <c r="H97" s="10" t="n">
        <f aca="false">'Import-dataset'!B9/'Import-dataset'!B4*100</f>
        <v>117.407168920369</v>
      </c>
      <c r="I97" s="10" t="n">
        <f aca="false">'Import-dataset'!B10/'Import-dataset'!B4*100</f>
        <v>139.643700364885</v>
      </c>
      <c r="J97" s="10" t="n">
        <f aca="false">'Import-dataset'!B11/'Import-dataset'!B4*100</f>
        <v>140.831365815268</v>
      </c>
      <c r="K97" s="10" t="n">
        <f aca="false">'Import-dataset'!B12/'Import-dataset'!B4*100</f>
        <v>159.497746297489</v>
      </c>
      <c r="L97" s="10" t="n">
        <f aca="false">'Import-dataset'!B13/'Import-dataset'!B4*100</f>
        <v>175.395292265865</v>
      </c>
    </row>
    <row r="98" customFormat="false" ht="15" hidden="false" customHeight="false" outlineLevel="0" collapsed="false">
      <c r="A98" s="0" t="s">
        <v>339</v>
      </c>
      <c r="B98" s="0" t="s">
        <v>340</v>
      </c>
      <c r="C98" s="10" t="n">
        <f aca="false">'Import-dataset'!M4/'Import-dataset'!M4*100</f>
        <v>100</v>
      </c>
      <c r="D98" s="10" t="n">
        <f aca="false">'Import-dataset'!M5/'Import-dataset'!M4*100</f>
        <v>100.428003668603</v>
      </c>
      <c r="E98" s="10" t="n">
        <f aca="false">'Import-dataset'!M6/'Import-dataset'!M4*100</f>
        <v>108.254356465913</v>
      </c>
      <c r="F98" s="10" t="n">
        <f aca="false">'Import-dataset'!M7/'Import-dataset'!M4*100</f>
        <v>116.111280953837</v>
      </c>
      <c r="G98" s="10" t="n">
        <f aca="false">'Import-dataset'!M8/'Import-dataset'!M4*100</f>
        <v>106.236624885356</v>
      </c>
      <c r="H98" s="10" t="n">
        <f aca="false">'Import-dataset'!M9/'Import-dataset'!M4*100</f>
        <v>105.441760929379</v>
      </c>
      <c r="I98" s="10" t="n">
        <f aca="false">'Import-dataset'!M10/'Import-dataset'!M4*100</f>
        <v>117.70100886579</v>
      </c>
      <c r="J98" s="10" t="n">
        <f aca="false">'Import-dataset'!M11/'Import-dataset'!M4*100</f>
        <v>107.551207581779</v>
      </c>
      <c r="K98" s="10" t="n">
        <f aca="false">'Import-dataset'!M12/'Import-dataset'!M4*100</f>
        <v>102.38459186793</v>
      </c>
      <c r="L98" s="10" t="n">
        <f aca="false">'Import-dataset'!M13/'Import-dataset'!M4*100</f>
        <v>103.271170895751</v>
      </c>
    </row>
    <row r="99" customFormat="false" ht="15" hidden="false" customHeight="false" outlineLevel="0" collapsed="false">
      <c r="A99" s="0" t="s">
        <v>345</v>
      </c>
      <c r="B99" s="0" t="s">
        <v>346</v>
      </c>
      <c r="C99" s="10" t="n">
        <f aca="false">'Import-dataset'!P4/'Import-dataset'!P4*100</f>
        <v>100</v>
      </c>
      <c r="D99" s="10" t="n">
        <f aca="false">'Import-dataset'!P5/'Import-dataset'!P4*100</f>
        <v>110.542732376794</v>
      </c>
      <c r="E99" s="10" t="n">
        <f aca="false">'Import-dataset'!P6/'Import-dataset'!P4*100</f>
        <v>124.298190892077</v>
      </c>
      <c r="F99" s="10" t="n">
        <f aca="false">'Import-dataset'!P7/'Import-dataset'!P4*100</f>
        <v>97.8789769182782</v>
      </c>
      <c r="G99" s="10" t="n">
        <f aca="false">'Import-dataset'!P8/'Import-dataset'!P4*100</f>
        <v>101.590767311291</v>
      </c>
      <c r="H99" s="10" t="n">
        <f aca="false">'Import-dataset'!P9/'Import-dataset'!P4*100</f>
        <v>132.470368059888</v>
      </c>
      <c r="I99" s="10" t="n">
        <f aca="false">'Import-dataset'!P10/'Import-dataset'!P4*100</f>
        <v>145.134123518403</v>
      </c>
      <c r="J99" s="10" t="n">
        <f aca="false">'Import-dataset'!P11/'Import-dataset'!P4*100</f>
        <v>122.613849033063</v>
      </c>
      <c r="K99" s="10" t="n">
        <f aca="false">'Import-dataset'!P12/'Import-dataset'!P4*100</f>
        <v>128.477854023706</v>
      </c>
      <c r="L99" s="10" t="n">
        <f aca="false">'Import-dataset'!P13/'Import-dataset'!P4*100</f>
        <v>164.847161572052</v>
      </c>
    </row>
    <row r="100" customFormat="false" ht="15" hidden="false" customHeight="false" outlineLevel="0" collapsed="false">
      <c r="A100" s="0" t="s">
        <v>365</v>
      </c>
      <c r="B100" s="0" t="s">
        <v>366</v>
      </c>
      <c r="C100" s="10" t="n">
        <f aca="false">'Import-dataset'!Z4/'Import-dataset'!Z4*100</f>
        <v>100</v>
      </c>
      <c r="D100" s="10" t="n">
        <f aca="false">'Import-dataset'!Z5/'Import-dataset'!Z4*100</f>
        <v>126.270971021861</v>
      </c>
      <c r="E100" s="10" t="n">
        <f aca="false">'Import-dataset'!Z6/'Import-dataset'!Z4*100</f>
        <v>171.631926792069</v>
      </c>
      <c r="F100" s="10" t="n">
        <f aca="false">'Import-dataset'!Z7/'Import-dataset'!Z4*100</f>
        <v>164.35349940688</v>
      </c>
      <c r="G100" s="10" t="n">
        <f aca="false">'Import-dataset'!Z8/'Import-dataset'!Z4*100</f>
        <v>97.898661243857</v>
      </c>
      <c r="H100" s="10" t="n">
        <f aca="false">'Import-dataset'!Z9/'Import-dataset'!Z4*100</f>
        <v>146.38196915777</v>
      </c>
      <c r="I100" s="10" t="n">
        <f aca="false">'Import-dataset'!Z10/'Import-dataset'!Z4*100</f>
        <v>278.791730215218</v>
      </c>
      <c r="J100" s="10" t="n">
        <f aca="false">'Import-dataset'!Z11/'Import-dataset'!Z4*100</f>
        <v>256.952211489578</v>
      </c>
      <c r="K100" s="10" t="n">
        <f aca="false">'Import-dataset'!Z12/'Import-dataset'!Z4*100</f>
        <v>240.421115065243</v>
      </c>
      <c r="L100" s="10" t="n">
        <f aca="false">'Import-dataset'!Z13/'Import-dataset'!Z4*100</f>
        <v>225.631248940858</v>
      </c>
    </row>
    <row r="101" customFormat="false" ht="15" hidden="false" customHeight="false" outlineLevel="0" collapsed="false">
      <c r="A101" s="0" t="s">
        <v>373</v>
      </c>
      <c r="B101" s="0" t="s">
        <v>374</v>
      </c>
      <c r="C101" s="10" t="n">
        <f aca="false">'Import-dataset'!AD4/'Import-dataset'!AD4*100</f>
        <v>100</v>
      </c>
      <c r="D101" s="10" t="n">
        <f aca="false">'Import-dataset'!AD5/'Import-dataset'!AD4*100</f>
        <v>100.285714285714</v>
      </c>
      <c r="E101" s="10" t="n">
        <f aca="false">'Import-dataset'!AD6/'Import-dataset'!AD4*100</f>
        <v>108</v>
      </c>
      <c r="F101" s="10" t="n">
        <f aca="false">'Import-dataset'!AD7/'Import-dataset'!AD4*100</f>
        <v>103.571428571429</v>
      </c>
      <c r="G101" s="10" t="n">
        <f aca="false">'Import-dataset'!AD8/'Import-dataset'!AD4*100</f>
        <v>109.428571428571</v>
      </c>
      <c r="H101" s="10" t="n">
        <f aca="false">'Import-dataset'!AD9/'Import-dataset'!AD4*100</f>
        <v>118.714285714286</v>
      </c>
      <c r="I101" s="10" t="n">
        <f aca="false">'Import-dataset'!AD10/'Import-dataset'!AD4*100</f>
        <v>156.285714285714</v>
      </c>
      <c r="J101" s="10" t="n">
        <f aca="false">'Import-dataset'!AD11/'Import-dataset'!AD4*100</f>
        <v>141.142857142857</v>
      </c>
      <c r="K101" s="10" t="n">
        <f aca="false">'Import-dataset'!AD12/'Import-dataset'!AD4*100</f>
        <v>179.571428571429</v>
      </c>
      <c r="L101" s="10" t="n">
        <f aca="false">'Import-dataset'!AD13/'Import-dataset'!AD4*100</f>
        <v>183.142857142857</v>
      </c>
    </row>
    <row r="102" customFormat="false" ht="15" hidden="false" customHeight="false" outlineLevel="0" collapsed="false">
      <c r="A102" s="0" t="s">
        <v>381</v>
      </c>
      <c r="B102" s="0" t="s">
        <v>382</v>
      </c>
      <c r="C102" s="10" t="n">
        <f aca="false">'Import-dataset'!AH4/'Import-dataset'!AH4*100</f>
        <v>100</v>
      </c>
      <c r="D102" s="10" t="n">
        <f aca="false">'Import-dataset'!AH5/'Import-dataset'!AH4*100</f>
        <v>101.259700415088</v>
      </c>
      <c r="E102" s="10" t="n">
        <f aca="false">'Import-dataset'!AH6/'Import-dataset'!AH4*100</f>
        <v>107.695361848042</v>
      </c>
      <c r="F102" s="10" t="n">
        <f aca="false">'Import-dataset'!AH7/'Import-dataset'!AH4*100</f>
        <v>111.97978704205</v>
      </c>
      <c r="G102" s="10" t="n">
        <f aca="false">'Import-dataset'!AH8/'Import-dataset'!AH4*100</f>
        <v>120.162425554954</v>
      </c>
      <c r="H102" s="10" t="n">
        <f aca="false">'Import-dataset'!AH9/'Import-dataset'!AH4*100</f>
        <v>133.625699332251</v>
      </c>
      <c r="I102" s="10" t="n">
        <f aca="false">'Import-dataset'!AH10/'Import-dataset'!AH4*100</f>
        <v>185.500812127775</v>
      </c>
      <c r="J102" s="10" t="n">
        <f aca="false">'Import-dataset'!AH11/'Import-dataset'!AH4*100</f>
        <v>154.596643205198</v>
      </c>
      <c r="K102" s="10" t="n">
        <f aca="false">'Import-dataset'!AH12/'Import-dataset'!AH4*100</f>
        <v>162.541057570836</v>
      </c>
      <c r="L102" s="10" t="n">
        <f aca="false">'Import-dataset'!AH13/'Import-dataset'!AH4*100</f>
        <v>172.080851831799</v>
      </c>
    </row>
    <row r="103" customFormat="false" ht="15" hidden="false" customHeight="false" outlineLevel="0" collapsed="false">
      <c r="A103" s="0" t="s">
        <v>401</v>
      </c>
      <c r="B103" s="0" t="s">
        <v>402</v>
      </c>
      <c r="C103" s="10" t="n">
        <f aca="false">'Import-dataset'!AR4/'Import-dataset'!AR4*100</f>
        <v>100</v>
      </c>
      <c r="D103" s="10" t="n">
        <f aca="false">'Import-dataset'!AR5/'Import-dataset'!AR4*100</f>
        <v>101.693654111895</v>
      </c>
      <c r="E103" s="10" t="n">
        <f aca="false">'Import-dataset'!AR6/'Import-dataset'!AR4*100</f>
        <v>114.952343833044</v>
      </c>
      <c r="F103" s="10" t="n">
        <f aca="false">'Import-dataset'!AR7/'Import-dataset'!AR4*100</f>
        <v>114.396059951104</v>
      </c>
      <c r="G103" s="10" t="n">
        <f aca="false">'Import-dataset'!AR8/'Import-dataset'!AR4*100</f>
        <v>121.882861495943</v>
      </c>
      <c r="H103" s="10" t="n">
        <f aca="false">'Import-dataset'!AR9/'Import-dataset'!AR4*100</f>
        <v>131.017255429968</v>
      </c>
      <c r="I103" s="10" t="n">
        <f aca="false">'Import-dataset'!AR10/'Import-dataset'!AR4*100</f>
        <v>155.975622719059</v>
      </c>
      <c r="J103" s="10" t="n">
        <f aca="false">'Import-dataset'!AR11/'Import-dataset'!AR4*100</f>
        <v>143.996031605428</v>
      </c>
      <c r="K103" s="10" t="n">
        <f aca="false">'Import-dataset'!AR12/'Import-dataset'!AR4*100</f>
        <v>154.522906849024</v>
      </c>
      <c r="L103" s="10" t="n">
        <f aca="false">'Import-dataset'!AR13/'Import-dataset'!AR4*100</f>
        <v>162.534103390851</v>
      </c>
    </row>
    <row r="104" customFormat="false" ht="15" hidden="false" customHeight="false" outlineLevel="0" collapsed="false">
      <c r="A104" s="0" t="s">
        <v>421</v>
      </c>
      <c r="B104" s="0" t="s">
        <v>422</v>
      </c>
      <c r="C104" s="10" t="n">
        <f aca="false">'Import-dataset'!BB4/'Import-dataset'!BB4*100</f>
        <v>100</v>
      </c>
      <c r="D104" s="10" t="n">
        <f aca="false">'Import-dataset'!BB5/'Import-dataset'!BB4*100</f>
        <v>114.130182324933</v>
      </c>
      <c r="E104" s="10" t="n">
        <f aca="false">'Import-dataset'!BB6/'Import-dataset'!BB4*100</f>
        <v>117.489257925909</v>
      </c>
      <c r="F104" s="10" t="n">
        <f aca="false">'Import-dataset'!BB7/'Import-dataset'!BB4*100</f>
        <v>119.310571749313</v>
      </c>
      <c r="G104" s="10" t="n">
        <f aca="false">'Import-dataset'!BB8/'Import-dataset'!BB4*100</f>
        <v>115.884721093175</v>
      </c>
      <c r="H104" s="10" t="n">
        <f aca="false">'Import-dataset'!BB9/'Import-dataset'!BB4*100</f>
        <v>131.038787597259</v>
      </c>
      <c r="I104" s="10" t="n">
        <f aca="false">'Import-dataset'!BB10/'Import-dataset'!BB4*100</f>
        <v>151.840668911857</v>
      </c>
      <c r="J104" s="10" t="n">
        <f aca="false">'Import-dataset'!BB11/'Import-dataset'!BB4*100</f>
        <v>167.76506793636</v>
      </c>
      <c r="K104" s="10" t="n">
        <f aca="false">'Import-dataset'!BB12/'Import-dataset'!BB4*100</f>
        <v>174.859675608718</v>
      </c>
      <c r="L104" s="10" t="n">
        <f aca="false">'Import-dataset'!BB13/'Import-dataset'!BB4*100</f>
        <v>184.798513529207</v>
      </c>
    </row>
    <row r="105" customFormat="false" ht="15" hidden="false" customHeight="false" outlineLevel="0" collapsed="false">
      <c r="A105" s="0" t="s">
        <v>441</v>
      </c>
      <c r="B105" s="0" t="s">
        <v>442</v>
      </c>
      <c r="C105" s="10" t="n">
        <f aca="false">'Import-dataset'!BL4/'Import-dataset'!BL4*100</f>
        <v>100</v>
      </c>
      <c r="D105" s="10" t="n">
        <f aca="false">'Import-dataset'!BL5/'Import-dataset'!BL4*100</f>
        <v>100.510343119039</v>
      </c>
      <c r="E105" s="10" t="n">
        <f aca="false">'Import-dataset'!BL6/'Import-dataset'!BL4*100</f>
        <v>109.746067137372</v>
      </c>
      <c r="F105" s="10" t="n">
        <f aca="false">'Import-dataset'!BL7/'Import-dataset'!BL4*100</f>
        <v>114.72315124489</v>
      </c>
      <c r="G105" s="10" t="n">
        <f aca="false">'Import-dataset'!BL8/'Import-dataset'!BL4*100</f>
        <v>114.05425492382</v>
      </c>
      <c r="H105" s="10" t="n">
        <f aca="false">'Import-dataset'!BL9/'Import-dataset'!BL4*100</f>
        <v>124.194227672489</v>
      </c>
      <c r="I105" s="10" t="n">
        <f aca="false">'Import-dataset'!BL10/'Import-dataset'!BL4*100</f>
        <v>142.390684999381</v>
      </c>
      <c r="J105" s="10" t="n">
        <f aca="false">'Import-dataset'!BL11/'Import-dataset'!BL4*100</f>
        <v>137.985878855444</v>
      </c>
      <c r="K105" s="10" t="n">
        <f aca="false">'Import-dataset'!BL12/'Import-dataset'!BL4*100</f>
        <v>146.934225195095</v>
      </c>
      <c r="L105" s="10" t="n">
        <f aca="false">'Import-dataset'!BL13/'Import-dataset'!BL4*100</f>
        <v>156.14517527561</v>
      </c>
    </row>
    <row r="106" customFormat="false" ht="15" hidden="false" customHeight="false" outlineLevel="0" collapsed="false">
      <c r="A106" s="0" t="s">
        <v>459</v>
      </c>
      <c r="B106" s="0" t="s">
        <v>460</v>
      </c>
      <c r="C106" s="10" t="n">
        <f aca="false">'Import-dataset'!BU4/'Import-dataset'!BU4*100</f>
        <v>100</v>
      </c>
      <c r="D106" s="10" t="n">
        <f aca="false">'Import-dataset'!BU5/'Import-dataset'!BU4*100</f>
        <v>214.786187512548</v>
      </c>
      <c r="E106" s="10" t="n">
        <f aca="false">'Import-dataset'!BU6/'Import-dataset'!BU4*100</f>
        <v>121.863079702871</v>
      </c>
      <c r="F106" s="10" t="n">
        <f aca="false">'Import-dataset'!BU7/'Import-dataset'!BU4*100</f>
        <v>112.939168841598</v>
      </c>
      <c r="G106" s="10" t="n">
        <f aca="false">'Import-dataset'!BU8/'Import-dataset'!BU4*100</f>
        <v>119.594458943987</v>
      </c>
      <c r="H106" s="10" t="n">
        <f aca="false">'Import-dataset'!BU9/'Import-dataset'!BU4*100</f>
        <v>112.537643043566</v>
      </c>
      <c r="I106" s="10" t="n">
        <f aca="false">'Import-dataset'!BU10/'Import-dataset'!BU4*100</f>
        <v>123.388877735395</v>
      </c>
      <c r="J106" s="10" t="n">
        <f aca="false">'Import-dataset'!BU11/'Import-dataset'!BU4*100</f>
        <v>126.229672756475</v>
      </c>
      <c r="K106" s="10" t="n">
        <f aca="false">'Import-dataset'!BU12/'Import-dataset'!BU4*100</f>
        <v>135.213812487452</v>
      </c>
      <c r="L106" s="10" t="n">
        <f aca="false">'Import-dataset'!BU13/'Import-dataset'!BU4*100</f>
        <v>257.197349929733</v>
      </c>
    </row>
    <row r="108" customFormat="false" ht="16.15" hidden="false" customHeight="false" outlineLevel="0" collapsed="false">
      <c r="A108" s="2" t="s">
        <v>488</v>
      </c>
    </row>
    <row r="109" customFormat="false" ht="15" hidden="false" customHeight="false" outlineLevel="0" collapsed="false">
      <c r="A109" s="3" t="s">
        <v>311</v>
      </c>
      <c r="B109" s="3" t="s">
        <v>313</v>
      </c>
      <c r="C109" s="7" t="n">
        <v>2016</v>
      </c>
      <c r="D109" s="7" t="n">
        <v>2017</v>
      </c>
      <c r="E109" s="7" t="n">
        <v>2018</v>
      </c>
      <c r="F109" s="7" t="n">
        <v>2019</v>
      </c>
      <c r="G109" s="7" t="n">
        <v>2020</v>
      </c>
      <c r="H109" s="7" t="n">
        <v>2021</v>
      </c>
      <c r="I109" s="7" t="n">
        <v>2022</v>
      </c>
      <c r="J109" s="7" t="n">
        <v>2023</v>
      </c>
      <c r="K109" s="7" t="n">
        <v>2024</v>
      </c>
      <c r="L109" s="7" t="n">
        <v>2025</v>
      </c>
    </row>
    <row r="110" customFormat="false" ht="15" hidden="false" customHeight="false" outlineLevel="0" collapsed="false">
      <c r="A110" s="0" t="s">
        <v>315</v>
      </c>
      <c r="B110" s="0" t="s">
        <v>317</v>
      </c>
      <c r="C110" s="9" t="n">
        <f aca="false">'Import-dataset'!B4/'Import-dataset'!CA4</f>
        <v>0.0549529182802886</v>
      </c>
      <c r="D110" s="9" t="n">
        <f aca="false">'Import-dataset'!B5/'Import-dataset'!CA5</f>
        <v>0.0496165332944837</v>
      </c>
      <c r="E110" s="9" t="n">
        <f aca="false">'Import-dataset'!B6/'Import-dataset'!CA6</f>
        <v>0.0497681302417366</v>
      </c>
      <c r="F110" s="9" t="n">
        <f aca="false">'Import-dataset'!B7/'Import-dataset'!CA7</f>
        <v>0.0550741507857285</v>
      </c>
      <c r="G110" s="9" t="n">
        <f aca="false">'Import-dataset'!B8/'Import-dataset'!CA8</f>
        <v>0.05996873328951</v>
      </c>
      <c r="H110" s="9" t="n">
        <f aca="false">'Import-dataset'!B9/'Import-dataset'!CA9</f>
        <v>0.0496920365558967</v>
      </c>
      <c r="I110" s="9" t="n">
        <f aca="false">'Import-dataset'!B10/'Import-dataset'!CA10</f>
        <v>0.0468055309087247</v>
      </c>
      <c r="J110" s="9" t="n">
        <f aca="false">'Import-dataset'!B11/'Import-dataset'!CA11</f>
        <v>0.047560943197002</v>
      </c>
      <c r="K110" s="9" t="n">
        <f aca="false">'Import-dataset'!B12/'Import-dataset'!CA12</f>
        <v>0.0518595026903295</v>
      </c>
      <c r="L110" s="9" t="n">
        <f aca="false">'Import-dataset'!B13/'Import-dataset'!CA13</f>
        <v>0.0531933360239202</v>
      </c>
    </row>
    <row r="111" customFormat="false" ht="15" hidden="false" customHeight="false" outlineLevel="0" collapsed="false">
      <c r="A111" s="0" t="s">
        <v>339</v>
      </c>
      <c r="B111" s="0" t="s">
        <v>340</v>
      </c>
      <c r="C111" s="9" t="n">
        <f aca="false">'Import-dataset'!M4/'Import-dataset'!CA4</f>
        <v>0.0128604847746172</v>
      </c>
      <c r="D111" s="9" t="n">
        <f aca="false">'Import-dataset'!M5/'Import-dataset'!CA5</f>
        <v>0.0113947365682592</v>
      </c>
      <c r="E111" s="9" t="n">
        <f aca="false">'Import-dataset'!M6/'Import-dataset'!CA6</f>
        <v>0.0116461108370334</v>
      </c>
      <c r="F111" s="9" t="n">
        <f aca="false">'Import-dataset'!M7/'Import-dataset'!CA7</f>
        <v>0.0123492516639625</v>
      </c>
      <c r="G111" s="9" t="n">
        <f aca="false">'Import-dataset'!M8/'Import-dataset'!CA8</f>
        <v>0.0118357101255777</v>
      </c>
      <c r="H111" s="9" t="n">
        <f aca="false">'Import-dataset'!M9/'Import-dataset'!CA9</f>
        <v>0.0104441093285367</v>
      </c>
      <c r="I111" s="9" t="n">
        <f aca="false">'Import-dataset'!M10/'Import-dataset'!CA10</f>
        <v>0.00923256962796342</v>
      </c>
      <c r="J111" s="9" t="n">
        <f aca="false">'Import-dataset'!M11/'Import-dataset'!CA11</f>
        <v>0.00850027424136623</v>
      </c>
      <c r="K111" s="9" t="n">
        <f aca="false">'Import-dataset'!M12/'Import-dataset'!CA12</f>
        <v>0.00779067305925238</v>
      </c>
      <c r="L111" s="9" t="n">
        <f aca="false">'Import-dataset'!M13/'Import-dataset'!CA13</f>
        <v>0.00732967934280246</v>
      </c>
    </row>
    <row r="112" customFormat="false" ht="15" hidden="false" customHeight="false" outlineLevel="0" collapsed="false">
      <c r="A112" s="0" t="s">
        <v>345</v>
      </c>
      <c r="B112" s="0" t="s">
        <v>346</v>
      </c>
      <c r="C112" s="9" t="n">
        <f aca="false">'Import-dataset'!P4/'Import-dataset'!CA4</f>
        <v>0.0126049263795239</v>
      </c>
      <c r="D112" s="9" t="n">
        <f aca="false">'Import-dataset'!P5/'Import-dataset'!CA5</f>
        <v>0.0122931343677049</v>
      </c>
      <c r="E112" s="9" t="n">
        <f aca="false">'Import-dataset'!P6/'Import-dataset'!CA6</f>
        <v>0.0131063969741819</v>
      </c>
      <c r="F112" s="9" t="n">
        <f aca="false">'Import-dataset'!P7/'Import-dataset'!CA7</f>
        <v>0.0102032521646957</v>
      </c>
      <c r="G112" s="9" t="n">
        <f aca="false">'Import-dataset'!P8/'Import-dataset'!CA8</f>
        <v>0.0110932109004336</v>
      </c>
      <c r="H112" s="9" t="n">
        <f aca="false">'Import-dataset'!P9/'Import-dataset'!CA9</f>
        <v>0.012860577650999</v>
      </c>
      <c r="I112" s="9" t="n">
        <f aca="false">'Import-dataset'!P10/'Import-dataset'!CA10</f>
        <v>0.0111582198646529</v>
      </c>
      <c r="J112" s="9" t="n">
        <f aca="false">'Import-dataset'!P11/'Import-dataset'!CA11</f>
        <v>0.00949817454315254</v>
      </c>
      <c r="K112" s="9" t="n">
        <f aca="false">'Import-dataset'!P12/'Import-dataset'!CA12</f>
        <v>0.0095818997703973</v>
      </c>
      <c r="L112" s="9" t="n">
        <f aca="false">'Import-dataset'!P13/'Import-dataset'!CA13</f>
        <v>0.0114675415413591</v>
      </c>
    </row>
    <row r="113" customFormat="false" ht="15" hidden="false" customHeight="false" outlineLevel="0" collapsed="false">
      <c r="A113" s="0" t="s">
        <v>365</v>
      </c>
      <c r="B113" s="0" t="s">
        <v>366</v>
      </c>
      <c r="C113" s="9" t="n">
        <f aca="false">'Import-dataset'!Z4/'Import-dataset'!CA4</f>
        <v>0.0928030824274116</v>
      </c>
      <c r="D113" s="9" t="n">
        <f aca="false">'Import-dataset'!Z5/'Import-dataset'!CA5</f>
        <v>0.103385121283703</v>
      </c>
      <c r="E113" s="9" t="n">
        <f aca="false">'Import-dataset'!Z6/'Import-dataset'!CA6</f>
        <v>0.133241243216576</v>
      </c>
      <c r="F113" s="9" t="n">
        <f aca="false">'Import-dataset'!Z7/'Import-dataset'!CA7</f>
        <v>0.126139249355387</v>
      </c>
      <c r="G113" s="9" t="n">
        <f aca="false">'Import-dataset'!Z8/'Import-dataset'!CA8</f>
        <v>0.0787049178652807</v>
      </c>
      <c r="H113" s="9" t="n">
        <f aca="false">'Import-dataset'!Z9/'Import-dataset'!CA9</f>
        <v>0.104628838944506</v>
      </c>
      <c r="I113" s="9" t="n">
        <f aca="false">'Import-dataset'!Z10/'Import-dataset'!CA10</f>
        <v>0.157807396607211</v>
      </c>
      <c r="J113" s="9" t="n">
        <f aca="false">'Import-dataset'!Z11/'Import-dataset'!CA11</f>
        <v>0.146546370953128</v>
      </c>
      <c r="K113" s="9" t="n">
        <f aca="false">'Import-dataset'!Z12/'Import-dataset'!CA12</f>
        <v>0.132013408611381</v>
      </c>
      <c r="L113" s="9" t="n">
        <f aca="false">'Import-dataset'!Z13/'Import-dataset'!CA13</f>
        <v>0.115560705280928</v>
      </c>
    </row>
    <row r="114" customFormat="false" ht="15" hidden="false" customHeight="false" outlineLevel="0" collapsed="false">
      <c r="A114" s="0" t="s">
        <v>373</v>
      </c>
      <c r="B114" s="0" t="s">
        <v>374</v>
      </c>
      <c r="C114" s="9" t="n">
        <f aca="false">'Import-dataset'!AD4/'Import-dataset'!CA4</f>
        <v>0.00275216733177377</v>
      </c>
      <c r="D114" s="9" t="n">
        <f aca="false">'Import-dataset'!AD5/'Import-dataset'!CA5</f>
        <v>0.00243503959540881</v>
      </c>
      <c r="E114" s="9" t="n">
        <f aca="false">'Import-dataset'!AD6/'Import-dataset'!CA6</f>
        <v>0.00248643315244203</v>
      </c>
      <c r="F114" s="9" t="n">
        <f aca="false">'Import-dataset'!AD7/'Import-dataset'!CA7</f>
        <v>0.00235734793480063</v>
      </c>
      <c r="G114" s="9" t="n">
        <f aca="false">'Import-dataset'!AD8/'Import-dataset'!CA8</f>
        <v>0.00260896516724965</v>
      </c>
      <c r="H114" s="9" t="n">
        <f aca="false">'Import-dataset'!AD9/'Import-dataset'!CA9</f>
        <v>0.00251639746361671</v>
      </c>
      <c r="I114" s="9" t="n">
        <f aca="false">'Import-dataset'!AD10/'Import-dataset'!CA10</f>
        <v>0.00262348861636155</v>
      </c>
      <c r="J114" s="9" t="n">
        <f aca="false">'Import-dataset'!AD11/'Import-dataset'!CA11</f>
        <v>0.00238722880911593</v>
      </c>
      <c r="K114" s="9" t="n">
        <f aca="false">'Import-dataset'!AD12/'Import-dataset'!CA12</f>
        <v>0.00292411944923268</v>
      </c>
      <c r="L114" s="9" t="n">
        <f aca="false">'Import-dataset'!AD13/'Import-dataset'!CA13</f>
        <v>0.00278171963217074</v>
      </c>
    </row>
    <row r="115" customFormat="false" ht="15" hidden="false" customHeight="false" outlineLevel="0" collapsed="false">
      <c r="A115" s="0" t="s">
        <v>381</v>
      </c>
      <c r="B115" s="0" t="s">
        <v>382</v>
      </c>
      <c r="C115" s="9" t="n">
        <f aca="false">'Import-dataset'!AH4/'Import-dataset'!CA4</f>
        <v>0.108926851323989</v>
      </c>
      <c r="D115" s="9" t="n">
        <f aca="false">'Import-dataset'!AH5/'Import-dataset'!CA5</f>
        <v>0.0973113971646704</v>
      </c>
      <c r="E115" s="9" t="n">
        <f aca="false">'Import-dataset'!AH6/'Import-dataset'!CA6</f>
        <v>0.0981318862029272</v>
      </c>
      <c r="F115" s="9" t="n">
        <f aca="false">'Import-dataset'!AH7/'Import-dataset'!CA7</f>
        <v>0.10087498252311</v>
      </c>
      <c r="G115" s="9" t="n">
        <f aca="false">'Import-dataset'!AH8/'Import-dataset'!CA8</f>
        <v>0.113387805982909</v>
      </c>
      <c r="H115" s="9" t="n">
        <f aca="false">'Import-dataset'!AH9/'Import-dataset'!CA9</f>
        <v>0.112105355596335</v>
      </c>
      <c r="I115" s="9" t="n">
        <f aca="false">'Import-dataset'!AH10/'Import-dataset'!CA10</f>
        <v>0.123244013218162</v>
      </c>
      <c r="J115" s="9" t="n">
        <f aca="false">'Import-dataset'!AH11/'Import-dataset'!CA11</f>
        <v>0.103489268343365</v>
      </c>
      <c r="K115" s="9" t="n">
        <f aca="false">'Import-dataset'!AH12/'Import-dataset'!CA12</f>
        <v>0.104756521112049</v>
      </c>
      <c r="L115" s="9" t="n">
        <f aca="false">'Import-dataset'!AH13/'Import-dataset'!CA13</f>
        <v>0.103446554963916</v>
      </c>
    </row>
    <row r="116" customFormat="false" ht="15" hidden="false" customHeight="false" outlineLevel="0" collapsed="false">
      <c r="A116" s="0" t="s">
        <v>401</v>
      </c>
      <c r="B116" s="0" t="s">
        <v>402</v>
      </c>
      <c r="C116" s="9" t="n">
        <f aca="false">'Import-dataset'!AR4/'Import-dataset'!CA4</f>
        <v>0.110963455149502</v>
      </c>
      <c r="D116" s="9" t="n">
        <f aca="false">'Import-dataset'!AR5/'Import-dataset'!CA5</f>
        <v>0.0995556573045985</v>
      </c>
      <c r="E116" s="9" t="n">
        <f aca="false">'Import-dataset'!AR6/'Import-dataset'!CA6</f>
        <v>0.106702844926821</v>
      </c>
      <c r="F116" s="9" t="n">
        <f aca="false">'Import-dataset'!AR7/'Import-dataset'!CA7</f>
        <v>0.10497839368686</v>
      </c>
      <c r="G116" s="9" t="n">
        <f aca="false">'Import-dataset'!AR8/'Import-dataset'!CA8</f>
        <v>0.1171616093841</v>
      </c>
      <c r="H116" s="9" t="n">
        <f aca="false">'Import-dataset'!AR9/'Import-dataset'!CA9</f>
        <v>0.111972116741462</v>
      </c>
      <c r="I116" s="9" t="n">
        <f aca="false">'Import-dataset'!AR10/'Import-dataset'!CA10</f>
        <v>0.105565440933137</v>
      </c>
      <c r="J116" s="9" t="n">
        <f aca="false">'Import-dataset'!AR11/'Import-dataset'!CA11</f>
        <v>0.0981953226745661</v>
      </c>
      <c r="K116" s="9" t="n">
        <f aca="false">'Import-dataset'!AR12/'Import-dataset'!CA12</f>
        <v>0.101450893636027</v>
      </c>
      <c r="L116" s="9" t="n">
        <f aca="false">'Import-dataset'!AR13/'Import-dataset'!CA13</f>
        <v>0.0995343548884057</v>
      </c>
    </row>
    <row r="117" customFormat="false" ht="15" hidden="false" customHeight="false" outlineLevel="0" collapsed="false">
      <c r="A117" s="0" t="s">
        <v>421</v>
      </c>
      <c r="B117" s="0" t="s">
        <v>422</v>
      </c>
      <c r="C117" s="9" t="n">
        <f aca="false">'Import-dataset'!BB4/'Import-dataset'!CA4</f>
        <v>0.406267078181211</v>
      </c>
      <c r="D117" s="9" t="n">
        <f aca="false">'Import-dataset'!BB5/'Import-dataset'!CA5</f>
        <v>0.409076245876562</v>
      </c>
      <c r="E117" s="9" t="n">
        <f aca="false">'Import-dataset'!BB6/'Import-dataset'!CA6</f>
        <v>0.399289590527874</v>
      </c>
      <c r="F117" s="9" t="n">
        <f aca="false">'Import-dataset'!BB7/'Import-dataset'!CA7</f>
        <v>0.40086620343425</v>
      </c>
      <c r="G117" s="9" t="n">
        <f aca="false">'Import-dataset'!BB8/'Import-dataset'!CA8</f>
        <v>0.407850056028038</v>
      </c>
      <c r="H117" s="9" t="n">
        <f aca="false">'Import-dataset'!BB9/'Import-dataset'!CA9</f>
        <v>0.410027435091481</v>
      </c>
      <c r="I117" s="9" t="n">
        <f aca="false">'Import-dataset'!BB10/'Import-dataset'!CA10</f>
        <v>0.376257188214925</v>
      </c>
      <c r="J117" s="9" t="n">
        <f aca="false">'Import-dataset'!BB11/'Import-dataset'!CA11</f>
        <v>0.418864423283696</v>
      </c>
      <c r="K117" s="9" t="n">
        <f aca="false">'Import-dataset'!BB12/'Import-dataset'!CA12</f>
        <v>0.420324142246664</v>
      </c>
      <c r="L117" s="9" t="n">
        <f aca="false">'Import-dataset'!BB13/'Import-dataset'!CA13</f>
        <v>0.414341695850855</v>
      </c>
    </row>
    <row r="118" customFormat="false" ht="15" hidden="false" customHeight="false" outlineLevel="0" collapsed="false">
      <c r="A118" s="0" t="s">
        <v>441</v>
      </c>
      <c r="B118" s="0" t="s">
        <v>442</v>
      </c>
      <c r="C118" s="9" t="n">
        <f aca="false">'Import-dataset'!BL4/'Import-dataset'!CA4</f>
        <v>0.158701763352926</v>
      </c>
      <c r="D118" s="9" t="n">
        <f aca="false">'Import-dataset'!BL5/'Import-dataset'!CA5</f>
        <v>0.140729332514716</v>
      </c>
      <c r="E118" s="9" t="n">
        <f aca="false">'Import-dataset'!BL6/'Import-dataset'!CA6</f>
        <v>0.145696431507976</v>
      </c>
      <c r="F118" s="9" t="n">
        <f aca="false">'Import-dataset'!BL7/'Import-dataset'!CA7</f>
        <v>0.1505711285031</v>
      </c>
      <c r="G118" s="9" t="n">
        <f aca="false">'Import-dataset'!BL8/'Import-dataset'!CA8</f>
        <v>0.156803574895352</v>
      </c>
      <c r="H118" s="9" t="n">
        <f aca="false">'Import-dataset'!BL9/'Import-dataset'!CA9</f>
        <v>0.151804478036786</v>
      </c>
      <c r="I118" s="9" t="n">
        <f aca="false">'Import-dataset'!BL10/'Import-dataset'!CA10</f>
        <v>0.137831473230344</v>
      </c>
      <c r="J118" s="9" t="n">
        <f aca="false">'Import-dataset'!BL11/'Import-dataset'!CA11</f>
        <v>0.134578816002165</v>
      </c>
      <c r="K118" s="9" t="n">
        <f aca="false">'Import-dataset'!BL12/'Import-dataset'!CA12</f>
        <v>0.137970982127279</v>
      </c>
      <c r="L118" s="9" t="n">
        <f aca="false">'Import-dataset'!BL13/'Import-dataset'!CA13</f>
        <v>0.136759925878672</v>
      </c>
    </row>
    <row r="119" customFormat="false" ht="15" hidden="false" customHeight="false" outlineLevel="0" collapsed="false">
      <c r="A119" s="0" t="s">
        <v>459</v>
      </c>
      <c r="B119" s="0" t="s">
        <v>460</v>
      </c>
      <c r="C119" s="9" t="n">
        <f aca="false">'Import-dataset'!BU4/'Import-dataset'!CA4</f>
        <v>0.0391672727987576</v>
      </c>
      <c r="D119" s="9" t="n">
        <f aca="false">'Import-dataset'!BU5/'Import-dataset'!CA5</f>
        <v>0.0742201456167553</v>
      </c>
      <c r="E119" s="9" t="n">
        <f aca="false">'Import-dataset'!BU6/'Import-dataset'!CA6</f>
        <v>0.0399276434796908</v>
      </c>
      <c r="F119" s="9" t="n">
        <f aca="false">'Import-dataset'!BU7/'Import-dataset'!CA7</f>
        <v>0.036582788433713</v>
      </c>
      <c r="G119" s="9" t="n">
        <f aca="false">'Import-dataset'!BU8/'Import-dataset'!CA8</f>
        <v>0.0405786044420527</v>
      </c>
      <c r="H119" s="9" t="n">
        <f aca="false">'Import-dataset'!BU9/'Import-dataset'!CA9</f>
        <v>0.0339486545903814</v>
      </c>
      <c r="I119" s="9" t="n">
        <f aca="false">'Import-dataset'!BU10/'Import-dataset'!CA10</f>
        <v>0.0294770768485523</v>
      </c>
      <c r="J119" s="9" t="n">
        <f aca="false">'Import-dataset'!BU11/'Import-dataset'!CA11</f>
        <v>0.0303840103994259</v>
      </c>
      <c r="K119" s="9" t="n">
        <f aca="false">'Import-dataset'!BU12/'Import-dataset'!CA12</f>
        <v>0.0313348361027559</v>
      </c>
      <c r="L119" s="9" t="n">
        <f aca="false">'Import-dataset'!BU13/'Import-dataset'!CA13</f>
        <v>0.0555953357375029</v>
      </c>
    </row>
    <row r="121" customFormat="false" ht="16.15" hidden="false" customHeight="false" outlineLevel="0" collapsed="false">
      <c r="A121" s="2" t="s">
        <v>489</v>
      </c>
    </row>
    <row r="122" customFormat="false" ht="41.75" hidden="false" customHeight="false" outlineLevel="0" collapsed="false">
      <c r="A122" s="3" t="s">
        <v>311</v>
      </c>
      <c r="B122" s="3" t="s">
        <v>313</v>
      </c>
      <c r="C122" s="11" t="s">
        <v>482</v>
      </c>
      <c r="D122" s="11" t="s">
        <v>483</v>
      </c>
      <c r="E122" s="11" t="s">
        <v>484</v>
      </c>
    </row>
    <row r="123" customFormat="false" ht="15" hidden="false" customHeight="false" outlineLevel="0" collapsed="false">
      <c r="A123" s="0" t="s">
        <v>315</v>
      </c>
      <c r="B123" s="0" t="s">
        <v>317</v>
      </c>
      <c r="C123" s="9" t="n">
        <f aca="false">POWER('Import-dataset'!B13/'Import-dataset'!B4,1/9)-1</f>
        <v>0.0644201897907422</v>
      </c>
      <c r="D123" s="8" t="n">
        <f aca="false">'Import-dataset'!B13-'Import-dataset'!B4</f>
        <v>10538</v>
      </c>
      <c r="E123" s="9" t="n">
        <f aca="false">('Import-dataset'!B13-'Import-dataset'!B4)/('Import-dataset'!CA13-'Import-dataset'!CA4)</f>
        <v>0.0510262878835566</v>
      </c>
    </row>
    <row r="124" customFormat="false" ht="15" hidden="false" customHeight="false" outlineLevel="0" collapsed="false">
      <c r="A124" s="0" t="s">
        <v>339</v>
      </c>
      <c r="B124" s="0" t="s">
        <v>340</v>
      </c>
      <c r="C124" s="9" t="n">
        <f aca="false">POWER('Import-dataset'!M13/'Import-dataset'!M4,1/9)-1</f>
        <v>0.00358285533967173</v>
      </c>
      <c r="D124" s="8" t="n">
        <f aca="false">'Import-dataset'!M13-'Import-dataset'!M4</f>
        <v>107</v>
      </c>
      <c r="E124" s="9" t="n">
        <f aca="false">('Import-dataset'!M13-'Import-dataset'!M4)/('Import-dataset'!CA13-'Import-dataset'!CA4)</f>
        <v>0.000518107117435999</v>
      </c>
    </row>
    <row r="125" customFormat="false" ht="15" hidden="false" customHeight="false" outlineLevel="0" collapsed="false">
      <c r="A125" s="0" t="s">
        <v>345</v>
      </c>
      <c r="B125" s="0" t="s">
        <v>346</v>
      </c>
      <c r="C125" s="9" t="n">
        <f aca="false">POWER('Import-dataset'!P13/'Import-dataset'!P4,1/9)-1</f>
        <v>0.0571099575768275</v>
      </c>
      <c r="D125" s="8" t="n">
        <f aca="false">'Import-dataset'!P13-'Import-dataset'!P4</f>
        <v>2079</v>
      </c>
      <c r="E125" s="9" t="n">
        <f aca="false">('Import-dataset'!P13-'Import-dataset'!P4)/('Import-dataset'!CA13-'Import-dataset'!CA4)</f>
        <v>0.0100667728705555</v>
      </c>
    </row>
    <row r="126" customFormat="false" ht="15" hidden="false" customHeight="false" outlineLevel="0" collapsed="false">
      <c r="A126" s="0" t="s">
        <v>365</v>
      </c>
      <c r="B126" s="0" t="s">
        <v>366</v>
      </c>
      <c r="C126" s="9" t="n">
        <f aca="false">POWER('Import-dataset'!Z13/'Import-dataset'!Z4,1/9)-1</f>
        <v>0.0946280757923281</v>
      </c>
      <c r="D126" s="8" t="n">
        <f aca="false">'Import-dataset'!Z13-'Import-dataset'!Z4</f>
        <v>29654</v>
      </c>
      <c r="E126" s="9" t="n">
        <f aca="false">('Import-dataset'!Z13-'Import-dataset'!Z4)/('Import-dataset'!CA13-'Import-dataset'!CA4)</f>
        <v>0.143588303368665</v>
      </c>
    </row>
    <row r="127" customFormat="false" ht="15" hidden="false" customHeight="false" outlineLevel="0" collapsed="false">
      <c r="A127" s="0" t="s">
        <v>373</v>
      </c>
      <c r="B127" s="0" t="s">
        <v>374</v>
      </c>
      <c r="C127" s="9" t="n">
        <f aca="false">POWER('Import-dataset'!AD13/'Import-dataset'!AD4,1/9)-1</f>
        <v>0.0695445701515913</v>
      </c>
      <c r="D127" s="8" t="n">
        <f aca="false">'Import-dataset'!AD13-'Import-dataset'!AD4</f>
        <v>582</v>
      </c>
      <c r="E127" s="9" t="n">
        <f aca="false">('Import-dataset'!AD13-'Import-dataset'!AD4)/('Import-dataset'!CA13-'Import-dataset'!CA4)</f>
        <v>0.00281811534904441</v>
      </c>
    </row>
    <row r="128" customFormat="false" ht="15" hidden="false" customHeight="false" outlineLevel="0" collapsed="false">
      <c r="A128" s="0" t="s">
        <v>381</v>
      </c>
      <c r="B128" s="0" t="s">
        <v>382</v>
      </c>
      <c r="C128" s="9" t="n">
        <f aca="false">POWER('Import-dataset'!AH13/'Import-dataset'!AH4,1/9)-1</f>
        <v>0.0621662683814153</v>
      </c>
      <c r="D128" s="8" t="n">
        <f aca="false">'Import-dataset'!AH13-'Import-dataset'!AH4</f>
        <v>19970</v>
      </c>
      <c r="E128" s="9" t="n">
        <f aca="false">('Import-dataset'!AH13-'Import-dataset'!AH4)/('Import-dataset'!CA13-'Import-dataset'!CA4)</f>
        <v>0.0966971881794103</v>
      </c>
    </row>
    <row r="129" customFormat="false" ht="15" hidden="false" customHeight="false" outlineLevel="0" collapsed="false">
      <c r="A129" s="0" t="s">
        <v>401</v>
      </c>
      <c r="B129" s="0" t="s">
        <v>402</v>
      </c>
      <c r="C129" s="9" t="n">
        <f aca="false">POWER('Import-dataset'!AR13/'Import-dataset'!AR4,1/9)-1</f>
        <v>0.0554514910415822</v>
      </c>
      <c r="D129" s="8" t="n">
        <f aca="false">'Import-dataset'!AR13-'Import-dataset'!AR4</f>
        <v>17649</v>
      </c>
      <c r="E129" s="9" t="n">
        <f aca="false">('Import-dataset'!AR13-'Import-dataset'!AR4)/('Import-dataset'!CA13-'Import-dataset'!CA4)</f>
        <v>0.0854586216413827</v>
      </c>
    </row>
    <row r="130" customFormat="false" ht="15" hidden="false" customHeight="false" outlineLevel="0" collapsed="false">
      <c r="A130" s="0" t="s">
        <v>421</v>
      </c>
      <c r="B130" s="0" t="s">
        <v>422</v>
      </c>
      <c r="C130" s="9" t="n">
        <f aca="false">POWER('Import-dataset'!BB13/'Import-dataset'!BB4,1/9)-1</f>
        <v>0.0706146053104384</v>
      </c>
      <c r="D130" s="8" t="n">
        <f aca="false">'Import-dataset'!BB13-'Import-dataset'!BB4</f>
        <v>87624</v>
      </c>
      <c r="E130" s="9" t="n">
        <f aca="false">('Import-dataset'!BB13-'Import-dataset'!BB4)/('Import-dataset'!CA13-'Import-dataset'!CA4)</f>
        <v>0.424286150076748</v>
      </c>
    </row>
    <row r="131" customFormat="false" ht="15" hidden="false" customHeight="false" outlineLevel="0" collapsed="false">
      <c r="A131" s="0" t="s">
        <v>441</v>
      </c>
      <c r="B131" s="0" t="s">
        <v>442</v>
      </c>
      <c r="C131" s="9" t="n">
        <f aca="false">POWER('Import-dataset'!BL13/'Import-dataset'!BL4,1/9)-1</f>
        <v>0.0507591351580561</v>
      </c>
      <c r="D131" s="8" t="n">
        <f aca="false">'Import-dataset'!BL13-'Import-dataset'!BL4</f>
        <v>22663</v>
      </c>
      <c r="E131" s="9" t="n">
        <f aca="false">('Import-dataset'!BL13-'Import-dataset'!BL4)/('Import-dataset'!CA13-'Import-dataset'!CA4)</f>
        <v>0.109737024321982</v>
      </c>
    </row>
    <row r="132" customFormat="false" ht="15" hidden="false" customHeight="false" outlineLevel="0" collapsed="false">
      <c r="A132" s="0" t="s">
        <v>459</v>
      </c>
      <c r="B132" s="0" t="s">
        <v>460</v>
      </c>
      <c r="C132" s="9" t="n">
        <f aca="false">POWER('Import-dataset'!BU13/'Import-dataset'!BU4,1/9)-1</f>
        <v>0.110670317317351</v>
      </c>
      <c r="D132" s="8" t="n">
        <f aca="false">'Import-dataset'!BU13-'Import-dataset'!BU4</f>
        <v>15660</v>
      </c>
      <c r="E132" s="9" t="n">
        <f aca="false">('Import-dataset'!BU13-'Import-dataset'!BU4)/('Import-dataset'!CA13-'Import-dataset'!CA4)</f>
        <v>0.0758276398041846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13" min="3" style="0" width="15"/>
  </cols>
  <sheetData>
    <row r="1" customFormat="false" ht="16.15" hidden="false" customHeight="false" outlineLevel="0" collapsed="false">
      <c r="A1" s="2" t="s">
        <v>490</v>
      </c>
    </row>
    <row r="2" customFormat="false" ht="15" hidden="false" customHeight="false" outlineLevel="0" collapsed="false">
      <c r="A2" s="0" t="s">
        <v>491</v>
      </c>
    </row>
    <row r="4" customFormat="false" ht="16.15" hidden="false" customHeight="false" outlineLevel="0" collapsed="false">
      <c r="A4" s="2" t="s">
        <v>492</v>
      </c>
    </row>
    <row r="5" customFormat="false" ht="41.75" hidden="false" customHeight="false" outlineLevel="0" collapsed="false">
      <c r="A5" s="3" t="s">
        <v>311</v>
      </c>
      <c r="B5" s="3" t="s">
        <v>313</v>
      </c>
      <c r="C5" s="11" t="s">
        <v>493</v>
      </c>
      <c r="D5" s="11" t="s">
        <v>494</v>
      </c>
      <c r="E5" s="11" t="s">
        <v>495</v>
      </c>
      <c r="F5" s="11" t="s">
        <v>496</v>
      </c>
      <c r="G5" s="11" t="s">
        <v>497</v>
      </c>
      <c r="H5" s="11" t="s">
        <v>498</v>
      </c>
      <c r="I5" s="11" t="s">
        <v>499</v>
      </c>
      <c r="J5" s="11" t="s">
        <v>500</v>
      </c>
      <c r="K5" s="11" t="s">
        <v>501</v>
      </c>
      <c r="L5" s="11" t="s">
        <v>502</v>
      </c>
    </row>
    <row r="6" customFormat="false" ht="15" hidden="false" customHeight="false" outlineLevel="0" collapsed="false">
      <c r="A6" s="0" t="s">
        <v>315</v>
      </c>
      <c r="B6" s="0" t="s">
        <v>317</v>
      </c>
      <c r="C6" s="8" t="n">
        <f aca="false">AVERAGE('Export-dataset'!B4:B13)</f>
        <v>44378.1</v>
      </c>
      <c r="D6" s="8" t="n">
        <f aca="false">MEDIAN('Export-dataset'!B4:B13)</f>
        <v>40594.5</v>
      </c>
      <c r="E6" s="8" t="n">
        <f aca="false">STDEVP('Export-dataset'!B4:B13)</f>
        <v>9835.20952954232</v>
      </c>
      <c r="F6" s="12" t="n">
        <f aca="false">STDEVP('Export-dataset'!B4:B13)/AVERAGE('Export-dataset'!B4:B13)</f>
        <v>0.221623042210963</v>
      </c>
      <c r="G6" s="8" t="n">
        <f aca="false">MIN('Export-dataset'!B4:B13)</f>
        <v>32621</v>
      </c>
      <c r="H6" s="8" t="n">
        <f aca="false">MAX('Export-dataset'!B4:B13)</f>
        <v>62043</v>
      </c>
      <c r="I6" s="8" t="n">
        <f aca="false">MAX('Export-dataset'!B4:B13)-MIN('Export-dataset'!B4:B13)</f>
        <v>29422</v>
      </c>
      <c r="J6" s="8" t="n">
        <f aca="false">SLOPE('Export-dataset'!B4:B13,Keys!$B$3:$B$12)</f>
        <v>3201.70303030303</v>
      </c>
      <c r="K6" s="8" t="n">
        <f aca="false">INTERCEPT('Export-dataset'!B4:B13,Keys!$B$3:$B$12)</f>
        <v>-6424662.87272727</v>
      </c>
      <c r="L6" s="12" t="n">
        <f aca="false">RSQ('Export-dataset'!B4:B13,Keys!$B$3:$B$12)</f>
        <v>0.874276509076802</v>
      </c>
    </row>
    <row r="7" customFormat="false" ht="15" hidden="false" customHeight="false" outlineLevel="0" collapsed="false">
      <c r="A7" s="0" t="s">
        <v>339</v>
      </c>
      <c r="B7" s="0" t="s">
        <v>340</v>
      </c>
      <c r="C7" s="8" t="n">
        <f aca="false">AVERAGE('Export-dataset'!M4:M13)</f>
        <v>2984</v>
      </c>
      <c r="D7" s="8" t="n">
        <f aca="false">MEDIAN('Export-dataset'!M4:M13)</f>
        <v>3048.5</v>
      </c>
      <c r="E7" s="8" t="n">
        <f aca="false">STDEVP('Export-dataset'!M4:M13)</f>
        <v>362.463515405344</v>
      </c>
      <c r="F7" s="12" t="n">
        <f aca="false">STDEVP('Export-dataset'!M4:M13)/AVERAGE('Export-dataset'!M4:M13)</f>
        <v>0.121469006503131</v>
      </c>
      <c r="G7" s="8" t="n">
        <f aca="false">MIN('Export-dataset'!M4:M13)</f>
        <v>2523</v>
      </c>
      <c r="H7" s="8" t="n">
        <f aca="false">MAX('Export-dataset'!M4:M13)</f>
        <v>3582</v>
      </c>
      <c r="I7" s="8" t="n">
        <f aca="false">MAX('Export-dataset'!M4:M13)-MIN('Export-dataset'!M4:M13)</f>
        <v>1059</v>
      </c>
      <c r="J7" s="8" t="n">
        <f aca="false">SLOPE('Export-dataset'!M4:M13,Keys!$B$3:$B$12)</f>
        <v>-20.7030303030303</v>
      </c>
      <c r="K7" s="8" t="n">
        <f aca="false">INTERCEPT('Export-dataset'!M4:M13,Keys!$B$3:$B$12)</f>
        <v>44814.4727272727</v>
      </c>
      <c r="L7" s="12" t="n">
        <f aca="false">RSQ('Export-dataset'!M4:M13,Keys!$B$3:$B$12)</f>
        <v>0.0269149258543366</v>
      </c>
    </row>
    <row r="8" customFormat="false" ht="15" hidden="false" customHeight="false" outlineLevel="0" collapsed="false">
      <c r="A8" s="0" t="s">
        <v>345</v>
      </c>
      <c r="B8" s="0" t="s">
        <v>346</v>
      </c>
      <c r="C8" s="8" t="n">
        <f aca="false">AVERAGE('Export-dataset'!P4:P13)</f>
        <v>152803.1</v>
      </c>
      <c r="D8" s="8" t="n">
        <f aca="false">MEDIAN('Export-dataset'!P4:P13)</f>
        <v>165778</v>
      </c>
      <c r="E8" s="8" t="n">
        <f aca="false">STDEVP('Export-dataset'!P4:P13)</f>
        <v>41636.5491928666</v>
      </c>
      <c r="F8" s="12" t="n">
        <f aca="false">STDEVP('Export-dataset'!P4:P13)/AVERAGE('Export-dataset'!P4:P13)</f>
        <v>0.272484977025117</v>
      </c>
      <c r="G8" s="8" t="n">
        <f aca="false">MIN('Export-dataset'!P4:P13)</f>
        <v>83621</v>
      </c>
      <c r="H8" s="8" t="n">
        <f aca="false">MAX('Export-dataset'!P4:P13)</f>
        <v>202961</v>
      </c>
      <c r="I8" s="8" t="n">
        <f aca="false">MAX('Export-dataset'!P4:P13)-MIN('Export-dataset'!P4:P13)</f>
        <v>119340</v>
      </c>
      <c r="J8" s="8" t="n">
        <f aca="false">SLOPE('Export-dataset'!P4:P13,Keys!$B$3:$B$12)</f>
        <v>12826.296969697</v>
      </c>
      <c r="K8" s="8" t="n">
        <f aca="false">INTERCEPT('Export-dataset'!P4:P13,Keys!$B$3:$B$12)</f>
        <v>-25762729.9272727</v>
      </c>
      <c r="L8" s="12" t="n">
        <f aca="false">RSQ('Export-dataset'!P4:P13,Keys!$B$3:$B$12)</f>
        <v>0.782901407639039</v>
      </c>
    </row>
    <row r="9" customFormat="false" ht="15" hidden="false" customHeight="false" outlineLevel="0" collapsed="false">
      <c r="A9" s="0" t="s">
        <v>365</v>
      </c>
      <c r="B9" s="0" t="s">
        <v>366</v>
      </c>
      <c r="C9" s="8" t="n">
        <f aca="false">AVERAGE('Export-dataset'!Z4:Z13)</f>
        <v>138053</v>
      </c>
      <c r="D9" s="8" t="n">
        <f aca="false">MEDIAN('Export-dataset'!Z4:Z13)</f>
        <v>126341.5</v>
      </c>
      <c r="E9" s="8" t="n">
        <f aca="false">STDEVP('Export-dataset'!Z4:Z13)</f>
        <v>52263.2939719647</v>
      </c>
      <c r="F9" s="12" t="n">
        <f aca="false">STDEVP('Export-dataset'!Z4:Z13)/AVERAGE('Export-dataset'!Z4:Z13)</f>
        <v>0.378574127124834</v>
      </c>
      <c r="G9" s="8" t="n">
        <f aca="false">MIN('Export-dataset'!Z4:Z13)</f>
        <v>67702</v>
      </c>
      <c r="H9" s="8" t="n">
        <f aca="false">MAX('Export-dataset'!Z4:Z13)</f>
        <v>251334</v>
      </c>
      <c r="I9" s="8" t="n">
        <f aca="false">MAX('Export-dataset'!Z4:Z13)-MIN('Export-dataset'!Z4:Z13)</f>
        <v>183632</v>
      </c>
      <c r="J9" s="8" t="n">
        <f aca="false">SLOPE('Export-dataset'!Z4:Z13,Keys!$B$3:$B$12)</f>
        <v>12056.2060606061</v>
      </c>
      <c r="K9" s="8" t="n">
        <f aca="false">INTERCEPT('Export-dataset'!Z4:Z13,Keys!$B$3:$B$12)</f>
        <v>-24221511.3454545</v>
      </c>
      <c r="L9" s="12" t="n">
        <f aca="false">RSQ('Export-dataset'!Z4:Z13,Keys!$B$3:$B$12)</f>
        <v>0.43901738271692</v>
      </c>
    </row>
    <row r="10" customFormat="false" ht="15" hidden="false" customHeight="false" outlineLevel="0" collapsed="false">
      <c r="A10" s="0" t="s">
        <v>373</v>
      </c>
      <c r="B10" s="0" t="s">
        <v>374</v>
      </c>
      <c r="C10" s="8" t="n">
        <f aca="false">AVERAGE('Export-dataset'!AD4:AD13)</f>
        <v>1100.5</v>
      </c>
      <c r="D10" s="8" t="n">
        <f aca="false">MEDIAN('Export-dataset'!AD4:AD13)</f>
        <v>923</v>
      </c>
      <c r="E10" s="8" t="n">
        <f aca="false">STDEVP('Export-dataset'!AD4:AD13)</f>
        <v>453.077973421794</v>
      </c>
      <c r="F10" s="12" t="n">
        <f aca="false">STDEVP('Export-dataset'!AD4:AD13)/AVERAGE('Export-dataset'!AD4:AD13)</f>
        <v>0.411701929506401</v>
      </c>
      <c r="G10" s="8" t="n">
        <f aca="false">MIN('Export-dataset'!AD4:AD13)</f>
        <v>647</v>
      </c>
      <c r="H10" s="8" t="n">
        <f aca="false">MAX('Export-dataset'!AD4:AD13)</f>
        <v>1806</v>
      </c>
      <c r="I10" s="8" t="n">
        <f aca="false">MAX('Export-dataset'!AD4:AD13)-MIN('Export-dataset'!AD4:AD13)</f>
        <v>1159</v>
      </c>
      <c r="J10" s="8" t="n">
        <f aca="false">SLOPE('Export-dataset'!AD4:AD13,Keys!$B$3:$B$12)</f>
        <v>141.557575757576</v>
      </c>
      <c r="K10" s="8" t="n">
        <f aca="false">INTERCEPT('Export-dataset'!AD4:AD13,Keys!$B$3:$B$12)</f>
        <v>-284916.581818182</v>
      </c>
      <c r="L10" s="12" t="n">
        <f aca="false">RSQ('Export-dataset'!AD4:AD13,Keys!$B$3:$B$12)</f>
        <v>0.805330751725682</v>
      </c>
    </row>
    <row r="11" customFormat="false" ht="15" hidden="false" customHeight="false" outlineLevel="0" collapsed="false">
      <c r="A11" s="0" t="s">
        <v>381</v>
      </c>
      <c r="B11" s="0" t="s">
        <v>382</v>
      </c>
      <c r="C11" s="8" t="n">
        <f aca="false">AVERAGE('Export-dataset'!AH4:AH13)</f>
        <v>10910.7</v>
      </c>
      <c r="D11" s="8" t="n">
        <f aca="false">MEDIAN('Export-dataset'!AH4:AH13)</f>
        <v>11288</v>
      </c>
      <c r="E11" s="8" t="n">
        <f aca="false">STDEVP('Export-dataset'!AH4:AH13)</f>
        <v>1418.91677345784</v>
      </c>
      <c r="F11" s="12" t="n">
        <f aca="false">STDEVP('Export-dataset'!AH4:AH13)/AVERAGE('Export-dataset'!AH4:AH13)</f>
        <v>0.130048188792455</v>
      </c>
      <c r="G11" s="8" t="n">
        <f aca="false">MIN('Export-dataset'!AH4:AH13)</f>
        <v>8367</v>
      </c>
      <c r="H11" s="8" t="n">
        <f aca="false">MAX('Export-dataset'!AH4:AH13)</f>
        <v>12575</v>
      </c>
      <c r="I11" s="8" t="n">
        <f aca="false">MAX('Export-dataset'!AH4:AH13)-MIN('Export-dataset'!AH4:AH13)</f>
        <v>4208</v>
      </c>
      <c r="J11" s="8" t="n">
        <f aca="false">SLOPE('Export-dataset'!AH4:AH13,Keys!$B$3:$B$12)</f>
        <v>394.006060606061</v>
      </c>
      <c r="K11" s="8" t="n">
        <f aca="false">INTERCEPT('Export-dataset'!AH4:AH13,Keys!$B$3:$B$12)</f>
        <v>-785178.545454546</v>
      </c>
      <c r="L11" s="12" t="n">
        <f aca="false">RSQ('Export-dataset'!AH4:AH13,Keys!$B$3:$B$12)</f>
        <v>0.636130044164623</v>
      </c>
    </row>
    <row r="12" customFormat="false" ht="15" hidden="false" customHeight="false" outlineLevel="0" collapsed="false">
      <c r="A12" s="0" t="s">
        <v>401</v>
      </c>
      <c r="B12" s="0" t="s">
        <v>402</v>
      </c>
      <c r="C12" s="8" t="n">
        <f aca="false">AVERAGE('Export-dataset'!AR4:AR13)</f>
        <v>17618.6</v>
      </c>
      <c r="D12" s="8" t="n">
        <f aca="false">MEDIAN('Export-dataset'!AR4:AR13)</f>
        <v>17299</v>
      </c>
      <c r="E12" s="8" t="n">
        <f aca="false">STDEVP('Export-dataset'!AR4:AR13)</f>
        <v>2763.12316772163</v>
      </c>
      <c r="F12" s="12" t="n">
        <f aca="false">STDEVP('Export-dataset'!AR4:AR13)/AVERAGE('Export-dataset'!AR4:AR13)</f>
        <v>0.156829893846368</v>
      </c>
      <c r="G12" s="8" t="n">
        <f aca="false">MIN('Export-dataset'!AR4:AR13)</f>
        <v>13406</v>
      </c>
      <c r="H12" s="8" t="n">
        <f aca="false">MAX('Export-dataset'!AR4:AR13)</f>
        <v>22719</v>
      </c>
      <c r="I12" s="8" t="n">
        <f aca="false">MAX('Export-dataset'!AR4:AR13)-MIN('Export-dataset'!AR4:AR13)</f>
        <v>9313</v>
      </c>
      <c r="J12" s="8" t="n">
        <f aca="false">SLOPE('Export-dataset'!AR4:AR13,Keys!$B$3:$B$12)</f>
        <v>869.066666666667</v>
      </c>
      <c r="K12" s="8" t="n">
        <f aca="false">INTERCEPT('Export-dataset'!AR4:AR13,Keys!$B$3:$B$12)</f>
        <v>-1738330.6</v>
      </c>
      <c r="L12" s="12" t="n">
        <f aca="false">RSQ('Export-dataset'!AR4:AR13,Keys!$B$3:$B$12)</f>
        <v>0.816130569752342</v>
      </c>
    </row>
    <row r="13" customFormat="false" ht="15" hidden="false" customHeight="false" outlineLevel="0" collapsed="false">
      <c r="A13" s="0" t="s">
        <v>421</v>
      </c>
      <c r="B13" s="0" t="s">
        <v>422</v>
      </c>
      <c r="C13" s="8" t="n">
        <f aca="false">AVERAGE('Export-dataset'!BB4:BB13)</f>
        <v>16958.9</v>
      </c>
      <c r="D13" s="8" t="n">
        <f aca="false">MEDIAN('Export-dataset'!BB4:BB13)</f>
        <v>15951.5</v>
      </c>
      <c r="E13" s="8" t="n">
        <f aca="false">STDEVP('Export-dataset'!BB4:BB13)</f>
        <v>2520.376656375</v>
      </c>
      <c r="F13" s="12" t="n">
        <f aca="false">STDEVP('Export-dataset'!BB4:BB13)/AVERAGE('Export-dataset'!BB4:BB13)</f>
        <v>0.148616753231341</v>
      </c>
      <c r="G13" s="8" t="n">
        <f aca="false">MIN('Export-dataset'!BB4:BB13)</f>
        <v>14638</v>
      </c>
      <c r="H13" s="8" t="n">
        <f aca="false">MAX('Export-dataset'!BB4:BB13)</f>
        <v>22210</v>
      </c>
      <c r="I13" s="8" t="n">
        <f aca="false">MAX('Export-dataset'!BB4:BB13)-MIN('Export-dataset'!BB4:BB13)</f>
        <v>7572</v>
      </c>
      <c r="J13" s="8" t="n">
        <f aca="false">SLOPE('Export-dataset'!BB4:BB13,Keys!$B$3:$B$12)</f>
        <v>710.369696969697</v>
      </c>
      <c r="K13" s="8" t="n">
        <f aca="false">INTERCEPT('Export-dataset'!BB4:BB13,Keys!$B$3:$B$12)</f>
        <v>-1418343.07272727</v>
      </c>
      <c r="L13" s="12" t="n">
        <f aca="false">RSQ('Export-dataset'!BB4:BB13,Keys!$B$3:$B$12)</f>
        <v>0.655378070493624</v>
      </c>
    </row>
    <row r="14" customFormat="false" ht="15" hidden="false" customHeight="false" outlineLevel="0" collapsed="false">
      <c r="A14" s="0" t="s">
        <v>441</v>
      </c>
      <c r="B14" s="0" t="s">
        <v>442</v>
      </c>
      <c r="C14" s="8" t="n">
        <f aca="false">AVERAGE('Export-dataset'!BL4:BL13)</f>
        <v>8675.4</v>
      </c>
      <c r="D14" s="8" t="n">
        <f aca="false">MEDIAN('Export-dataset'!BL4:BL13)</f>
        <v>8122</v>
      </c>
      <c r="E14" s="8" t="n">
        <f aca="false">STDEVP('Export-dataset'!BL4:BL13)</f>
        <v>1761.46826255826</v>
      </c>
      <c r="F14" s="12" t="n">
        <f aca="false">STDEVP('Export-dataset'!BL4:BL13)/AVERAGE('Export-dataset'!BL4:BL13)</f>
        <v>0.203041734393602</v>
      </c>
      <c r="G14" s="8" t="n">
        <f aca="false">MIN('Export-dataset'!BL4:BL13)</f>
        <v>6558</v>
      </c>
      <c r="H14" s="8" t="n">
        <f aca="false">MAX('Export-dataset'!BL4:BL13)</f>
        <v>11863</v>
      </c>
      <c r="I14" s="8" t="n">
        <f aca="false">MAX('Export-dataset'!BL4:BL13)-MIN('Export-dataset'!BL4:BL13)</f>
        <v>5305</v>
      </c>
      <c r="J14" s="8" t="n">
        <f aca="false">SLOPE('Export-dataset'!BL4:BL13,Keys!$B$3:$B$12)</f>
        <v>581.672727272727</v>
      </c>
      <c r="K14" s="8" t="n">
        <f aca="false">INTERCEPT('Export-dataset'!BL4:BL13,Keys!$B$3:$B$12)</f>
        <v>-1166594.34545455</v>
      </c>
      <c r="L14" s="12" t="n">
        <f aca="false">RSQ('Export-dataset'!BL4:BL13,Keys!$B$3:$B$12)</f>
        <v>0.899625395308447</v>
      </c>
    </row>
    <row r="15" customFormat="false" ht="15" hidden="false" customHeight="false" outlineLevel="0" collapsed="false">
      <c r="A15" s="0" t="s">
        <v>459</v>
      </c>
      <c r="B15" s="0" t="s">
        <v>460</v>
      </c>
      <c r="C15" s="8" t="n">
        <f aca="false">AVERAGE('Export-dataset'!BU4:BU13)</f>
        <v>37303.7</v>
      </c>
      <c r="D15" s="8" t="n">
        <f aca="false">MEDIAN('Export-dataset'!BU4:BU13)</f>
        <v>35670.5</v>
      </c>
      <c r="E15" s="8" t="n">
        <f aca="false">STDEVP('Export-dataset'!BU4:BU13)</f>
        <v>11599.3878549689</v>
      </c>
      <c r="F15" s="12" t="n">
        <f aca="false">STDEVP('Export-dataset'!BU4:BU13)/AVERAGE('Export-dataset'!BU4:BU13)</f>
        <v>0.310944701329061</v>
      </c>
      <c r="G15" s="8" t="n">
        <f aca="false">MIN('Export-dataset'!BU4:BU13)</f>
        <v>25523</v>
      </c>
      <c r="H15" s="8" t="n">
        <f aca="false">MAX('Export-dataset'!BU4:BU13)</f>
        <v>66414</v>
      </c>
      <c r="I15" s="8" t="n">
        <f aca="false">MAX('Export-dataset'!BU4:BU13)-MIN('Export-dataset'!BU4:BU13)</f>
        <v>40891</v>
      </c>
      <c r="J15" s="8" t="n">
        <f aca="false">SLOPE('Export-dataset'!BU4:BU13,Keys!$B$3:$B$12)</f>
        <v>3593.01212121212</v>
      </c>
      <c r="K15" s="8" t="n">
        <f aca="false">INTERCEPT('Export-dataset'!BU4:BU13,Keys!$B$3:$B$12)</f>
        <v>-7222377.29090909</v>
      </c>
      <c r="L15" s="12" t="n">
        <f aca="false">RSQ('Export-dataset'!BU4:BU13,Keys!$B$3:$B$12)</f>
        <v>0.791591591499136</v>
      </c>
    </row>
    <row r="17" customFormat="false" ht="16.15" hidden="false" customHeight="false" outlineLevel="0" collapsed="false">
      <c r="A17" s="2" t="s">
        <v>503</v>
      </c>
    </row>
    <row r="18" customFormat="false" ht="15" hidden="false" customHeight="false" outlineLevel="0" collapsed="false">
      <c r="A18" s="3" t="s">
        <v>311</v>
      </c>
      <c r="B18" s="3" t="s">
        <v>313</v>
      </c>
      <c r="C18" s="7" t="n">
        <v>2017</v>
      </c>
      <c r="D18" s="7" t="n">
        <v>2018</v>
      </c>
      <c r="E18" s="7" t="n">
        <v>2019</v>
      </c>
      <c r="F18" s="7" t="n">
        <v>2020</v>
      </c>
      <c r="G18" s="7" t="n">
        <v>2021</v>
      </c>
      <c r="H18" s="7" t="n">
        <v>2022</v>
      </c>
      <c r="I18" s="7" t="n">
        <v>2023</v>
      </c>
      <c r="J18" s="7" t="n">
        <v>2024</v>
      </c>
      <c r="K18" s="7" t="n">
        <v>2025</v>
      </c>
    </row>
    <row r="19" customFormat="false" ht="15" hidden="false" customHeight="false" outlineLevel="0" collapsed="false">
      <c r="A19" s="0" t="s">
        <v>315</v>
      </c>
      <c r="B19" s="0" t="s">
        <v>317</v>
      </c>
      <c r="C19" s="12" t="n">
        <f aca="false">('Main-Analytics'!C19-AVERAGE('Main-Analytics'!$C$19:$K$19))/STDEVP('Main-Analytics'!$C$19:$K$19)</f>
        <v>0.404902097821929</v>
      </c>
      <c r="D19" s="12" t="n">
        <f aca="false">('Main-Analytics'!D19-AVERAGE('Main-Analytics'!$C$19:$K$19))/STDEVP('Main-Analytics'!$C$19:$K$19)</f>
        <v>-1.09471121854945</v>
      </c>
      <c r="E19" s="12" t="n">
        <f aca="false">('Main-Analytics'!E19-AVERAGE('Main-Analytics'!$C$19:$K$19))/STDEVP('Main-Analytics'!$C$19:$K$19)</f>
        <v>-0.111538854805825</v>
      </c>
      <c r="F19" s="12" t="n">
        <f aca="false">('Main-Analytics'!F19-AVERAGE('Main-Analytics'!$C$19:$K$19))/STDEVP('Main-Analytics'!$C$19:$K$19)</f>
        <v>-1.26049679927982</v>
      </c>
      <c r="G19" s="12" t="n">
        <f aca="false">('Main-Analytics'!G19-AVERAGE('Main-Analytics'!$C$19:$K$19))/STDEVP('Main-Analytics'!$C$19:$K$19)</f>
        <v>1.35573628873875</v>
      </c>
      <c r="H19" s="12" t="n">
        <f aca="false">('Main-Analytics'!H19-AVERAGE('Main-Analytics'!$C$19:$K$19))/STDEVP('Main-Analytics'!$C$19:$K$19)</f>
        <v>1.33677025497305</v>
      </c>
      <c r="I19" s="12" t="n">
        <f aca="false">('Main-Analytics'!I19-AVERAGE('Main-Analytics'!$C$19:$K$19))/STDEVP('Main-Analytics'!$C$19:$K$19)</f>
        <v>-0.460618563797343</v>
      </c>
      <c r="J19" s="12" t="n">
        <f aca="false">('Main-Analytics'!J19-AVERAGE('Main-Analytics'!$C$19:$K$19))/STDEVP('Main-Analytics'!$C$19:$K$19)</f>
        <v>-1.13019291284772</v>
      </c>
      <c r="K19" s="12" t="n">
        <f aca="false">('Main-Analytics'!K19-AVERAGE('Main-Analytics'!$C$19:$K$19))/STDEVP('Main-Analytics'!$C$19:$K$19)</f>
        <v>0.960149707746423</v>
      </c>
    </row>
    <row r="20" customFormat="false" ht="15" hidden="false" customHeight="false" outlineLevel="0" collapsed="false">
      <c r="A20" s="0" t="s">
        <v>339</v>
      </c>
      <c r="B20" s="0" t="s">
        <v>340</v>
      </c>
      <c r="C20" s="12" t="n">
        <f aca="false">('Main-Analytics'!C20-AVERAGE('Main-Analytics'!$C$20:$K$20))/STDEVP('Main-Analytics'!$C$20:$K$20)</f>
        <v>0.827085673715616</v>
      </c>
      <c r="D20" s="12" t="n">
        <f aca="false">('Main-Analytics'!D20-AVERAGE('Main-Analytics'!$C$20:$K$20))/STDEVP('Main-Analytics'!$C$20:$K$20)</f>
        <v>0.694668615177883</v>
      </c>
      <c r="E20" s="12" t="n">
        <f aca="false">('Main-Analytics'!E20-AVERAGE('Main-Analytics'!$C$20:$K$20))/STDEVP('Main-Analytics'!$C$20:$K$20)</f>
        <v>0.28410335357717</v>
      </c>
      <c r="F20" s="12" t="n">
        <f aca="false">('Main-Analytics'!F20-AVERAGE('Main-Analytics'!$C$20:$K$20))/STDEVP('Main-Analytics'!$C$20:$K$20)</f>
        <v>-0.823389311147116</v>
      </c>
      <c r="G20" s="12" t="n">
        <f aca="false">('Main-Analytics'!G20-AVERAGE('Main-Analytics'!$C$20:$K$20))/STDEVP('Main-Analytics'!$C$20:$K$20)</f>
        <v>-1.96041693495513</v>
      </c>
      <c r="H20" s="12" t="n">
        <f aca="false">('Main-Analytics'!H20-AVERAGE('Main-Analytics'!$C$20:$K$20))/STDEVP('Main-Analytics'!$C$20:$K$20)</f>
        <v>-0.0330130590115236</v>
      </c>
      <c r="I20" s="12" t="n">
        <f aca="false">('Main-Analytics'!I20-AVERAGE('Main-Analytics'!$C$20:$K$20))/STDEVP('Main-Analytics'!$C$20:$K$20)</f>
        <v>-0.253874385552969</v>
      </c>
      <c r="J20" s="12" t="n">
        <f aca="false">('Main-Analytics'!J20-AVERAGE('Main-Analytics'!$C$20:$K$20))/STDEVP('Main-Analytics'!$C$20:$K$20)</f>
        <v>1.72007568881243</v>
      </c>
      <c r="K20" s="12" t="n">
        <f aca="false">('Main-Analytics'!K20-AVERAGE('Main-Analytics'!$C$20:$K$20))/STDEVP('Main-Analytics'!$C$20:$K$20)</f>
        <v>-0.45523964061636</v>
      </c>
    </row>
    <row r="21" customFormat="false" ht="15" hidden="false" customHeight="false" outlineLevel="0" collapsed="false">
      <c r="A21" s="0" t="s">
        <v>345</v>
      </c>
      <c r="B21" s="0" t="s">
        <v>346</v>
      </c>
      <c r="C21" s="12" t="n">
        <f aca="false">('Main-Analytics'!C21-AVERAGE('Main-Analytics'!$C$21:$K$21))/STDEVP('Main-Analytics'!$C$21:$K$21)</f>
        <v>0.69147619116309</v>
      </c>
      <c r="D21" s="12" t="n">
        <f aca="false">('Main-Analytics'!D21-AVERAGE('Main-Analytics'!$C$21:$K$21))/STDEVP('Main-Analytics'!$C$21:$K$21)</f>
        <v>-0.172825646183139</v>
      </c>
      <c r="E21" s="12" t="n">
        <f aca="false">('Main-Analytics'!E21-AVERAGE('Main-Analytics'!$C$21:$K$21))/STDEVP('Main-Analytics'!$C$21:$K$21)</f>
        <v>1.34302376876158</v>
      </c>
      <c r="F21" s="12" t="n">
        <f aca="false">('Main-Analytics'!F21-AVERAGE('Main-Analytics'!$C$21:$K$21))/STDEVP('Main-Analytics'!$C$21:$K$21)</f>
        <v>0.124191564424979</v>
      </c>
      <c r="G21" s="12" t="n">
        <f aca="false">('Main-Analytics'!G21-AVERAGE('Main-Analytics'!$C$21:$K$21))/STDEVP('Main-Analytics'!$C$21:$K$21)</f>
        <v>1.55124999788466</v>
      </c>
      <c r="H21" s="12" t="n">
        <f aca="false">('Main-Analytics'!H21-AVERAGE('Main-Analytics'!$C$21:$K$21))/STDEVP('Main-Analytics'!$C$21:$K$21)</f>
        <v>-1.10623259353817</v>
      </c>
      <c r="I21" s="12" t="n">
        <f aca="false">('Main-Analytics'!I21-AVERAGE('Main-Analytics'!$C$21:$K$21))/STDEVP('Main-Analytics'!$C$21:$K$21)</f>
        <v>-0.147070670970716</v>
      </c>
      <c r="J21" s="12" t="n">
        <f aca="false">('Main-Analytics'!J21-AVERAGE('Main-Analytics'!$C$21:$K$21))/STDEVP('Main-Analytics'!$C$21:$K$21)</f>
        <v>-1.59643830322577</v>
      </c>
      <c r="K21" s="12" t="n">
        <f aca="false">('Main-Analytics'!K21-AVERAGE('Main-Analytics'!$C$21:$K$21))/STDEVP('Main-Analytics'!$C$21:$K$21)</f>
        <v>-0.687374308316504</v>
      </c>
    </row>
    <row r="22" customFormat="false" ht="15" hidden="false" customHeight="false" outlineLevel="0" collapsed="false">
      <c r="A22" s="0" t="s">
        <v>365</v>
      </c>
      <c r="B22" s="0" t="s">
        <v>366</v>
      </c>
      <c r="C22" s="12" t="n">
        <f aca="false">('Main-Analytics'!C22-AVERAGE('Main-Analytics'!$C$22:$K$22))/STDEVP('Main-Analytics'!$C$22:$K$22)</f>
        <v>0.511699552453658</v>
      </c>
      <c r="D22" s="12" t="n">
        <f aca="false">('Main-Analytics'!D22-AVERAGE('Main-Analytics'!$C$22:$K$22))/STDEVP('Main-Analytics'!$C$22:$K$22)</f>
        <v>0.499207875253225</v>
      </c>
      <c r="E22" s="12" t="n">
        <f aca="false">('Main-Analytics'!E22-AVERAGE('Main-Analytics'!$C$22:$K$22))/STDEVP('Main-Analytics'!$C$22:$K$22)</f>
        <v>-0.286171778924063</v>
      </c>
      <c r="F22" s="12" t="n">
        <f aca="false">('Main-Analytics'!F22-AVERAGE('Main-Analytics'!$C$22:$K$22))/STDEVP('Main-Analytics'!$C$22:$K$22)</f>
        <v>-1.12500560291065</v>
      </c>
      <c r="G22" s="12" t="n">
        <f aca="false">('Main-Analytics'!G22-AVERAGE('Main-Analytics'!$C$22:$K$22))/STDEVP('Main-Analytics'!$C$22:$K$22)</f>
        <v>0.706941872945034</v>
      </c>
      <c r="H22" s="12" t="n">
        <f aca="false">('Main-Analytics'!H22-AVERAGE('Main-Analytics'!$C$22:$K$22))/STDEVP('Main-Analytics'!$C$22:$K$22)</f>
        <v>2.14623714912166</v>
      </c>
      <c r="I22" s="12" t="n">
        <f aca="false">('Main-Analytics'!I22-AVERAGE('Main-Analytics'!$C$22:$K$22))/STDEVP('Main-Analytics'!$C$22:$K$22)</f>
        <v>-0.93480486643907</v>
      </c>
      <c r="J22" s="12" t="n">
        <f aca="false">('Main-Analytics'!J22-AVERAGE('Main-Analytics'!$C$22:$K$22))/STDEVP('Main-Analytics'!$C$22:$K$22)</f>
        <v>-0.691442419289909</v>
      </c>
      <c r="K22" s="12" t="n">
        <f aca="false">('Main-Analytics'!K22-AVERAGE('Main-Analytics'!$C$22:$K$22))/STDEVP('Main-Analytics'!$C$22:$K$22)</f>
        <v>-0.826661782209885</v>
      </c>
    </row>
    <row r="23" customFormat="false" ht="15" hidden="false" customHeight="false" outlineLevel="0" collapsed="false">
      <c r="A23" s="0" t="s">
        <v>373</v>
      </c>
      <c r="B23" s="0" t="s">
        <v>374</v>
      </c>
      <c r="C23" s="12" t="n">
        <f aca="false">('Main-Analytics'!C23-AVERAGE('Main-Analytics'!$C$23:$K$23))/STDEVP('Main-Analytics'!$C$23:$K$23)</f>
        <v>-0.574738006781685</v>
      </c>
      <c r="D23" s="12" t="n">
        <f aca="false">('Main-Analytics'!D23-AVERAGE('Main-Analytics'!$C$23:$K$23))/STDEVP('Main-Analytics'!$C$23:$K$23)</f>
        <v>-0.719073772264451</v>
      </c>
      <c r="E23" s="12" t="n">
        <f aca="false">('Main-Analytics'!E23-AVERAGE('Main-Analytics'!$C$23:$K$23))/STDEVP('Main-Analytics'!$C$23:$K$23)</f>
        <v>-0.715211134455152</v>
      </c>
      <c r="F23" s="12" t="n">
        <f aca="false">('Main-Analytics'!F23-AVERAGE('Main-Analytics'!$C$23:$K$23))/STDEVP('Main-Analytics'!$C$23:$K$23)</f>
        <v>0.177019004660109</v>
      </c>
      <c r="G23" s="12" t="n">
        <f aca="false">('Main-Analytics'!G23-AVERAGE('Main-Analytics'!$C$23:$K$23))/STDEVP('Main-Analytics'!$C$23:$K$23)</f>
        <v>1.28849664377099</v>
      </c>
      <c r="H23" s="12" t="n">
        <f aca="false">('Main-Analytics'!H23-AVERAGE('Main-Analytics'!$C$23:$K$23))/STDEVP('Main-Analytics'!$C$23:$K$23)</f>
        <v>1.84288131404197</v>
      </c>
      <c r="I23" s="12" t="n">
        <f aca="false">('Main-Analytics'!I23-AVERAGE('Main-Analytics'!$C$23:$K$23))/STDEVP('Main-Analytics'!$C$23:$K$23)</f>
        <v>-0.801026673521916</v>
      </c>
      <c r="J23" s="12" t="n">
        <f aca="false">('Main-Analytics'!J23-AVERAGE('Main-Analytics'!$C$23:$K$23))/STDEVP('Main-Analytics'!$C$23:$K$23)</f>
        <v>-1.1945552284496</v>
      </c>
      <c r="K23" s="12" t="n">
        <f aca="false">('Main-Analytics'!K23-AVERAGE('Main-Analytics'!$C$23:$K$23))/STDEVP('Main-Analytics'!$C$23:$K$23)</f>
        <v>0.69620785299973</v>
      </c>
    </row>
    <row r="24" customFormat="false" ht="15" hidden="false" customHeight="false" outlineLevel="0" collapsed="false">
      <c r="A24" s="0" t="s">
        <v>381</v>
      </c>
      <c r="B24" s="0" t="s">
        <v>382</v>
      </c>
      <c r="C24" s="12" t="n">
        <f aca="false">('Main-Analytics'!C24-AVERAGE('Main-Analytics'!$C$24:$K$24))/STDEVP('Main-Analytics'!$C$24:$K$24)</f>
        <v>-0.132660441651785</v>
      </c>
      <c r="D24" s="12" t="n">
        <f aca="false">('Main-Analytics'!D24-AVERAGE('Main-Analytics'!$C$24:$K$24))/STDEVP('Main-Analytics'!$C$24:$K$24)</f>
        <v>1.36285675109104</v>
      </c>
      <c r="E24" s="12" t="n">
        <f aca="false">('Main-Analytics'!E24-AVERAGE('Main-Analytics'!$C$24:$K$24))/STDEVP('Main-Analytics'!$C$24:$K$24)</f>
        <v>0.733665217944464</v>
      </c>
      <c r="F24" s="12" t="n">
        <f aca="false">('Main-Analytics'!F24-AVERAGE('Main-Analytics'!$C$24:$K$24))/STDEVP('Main-Analytics'!$C$24:$K$24)</f>
        <v>-1.00217649456659</v>
      </c>
      <c r="G24" s="12" t="n">
        <f aca="false">('Main-Analytics'!G24-AVERAGE('Main-Analytics'!$C$24:$K$24))/STDEVP('Main-Analytics'!$C$24:$K$24)</f>
        <v>-1.16832523635176</v>
      </c>
      <c r="H24" s="12" t="n">
        <f aca="false">('Main-Analytics'!H24-AVERAGE('Main-Analytics'!$C$24:$K$24))/STDEVP('Main-Analytics'!$C$24:$K$24)</f>
        <v>1.64869549206485</v>
      </c>
      <c r="I24" s="12" t="n">
        <f aca="false">('Main-Analytics'!I24-AVERAGE('Main-Analytics'!$C$24:$K$24))/STDEVP('Main-Analytics'!$C$24:$K$24)</f>
        <v>-1.11111293666047</v>
      </c>
      <c r="J24" s="12" t="n">
        <f aca="false">('Main-Analytics'!J24-AVERAGE('Main-Analytics'!$C$24:$K$24))/STDEVP('Main-Analytics'!$C$24:$K$24)</f>
        <v>0.158478081933484</v>
      </c>
      <c r="K24" s="12" t="n">
        <f aca="false">('Main-Analytics'!K24-AVERAGE('Main-Analytics'!$C$24:$K$24))/STDEVP('Main-Analytics'!$C$24:$K$24)</f>
        <v>-0.489420433803227</v>
      </c>
    </row>
    <row r="25" customFormat="false" ht="15" hidden="false" customHeight="false" outlineLevel="0" collapsed="false">
      <c r="A25" s="0" t="s">
        <v>401</v>
      </c>
      <c r="B25" s="0" t="s">
        <v>402</v>
      </c>
      <c r="C25" s="12" t="n">
        <f aca="false">('Main-Analytics'!C25-AVERAGE('Main-Analytics'!$C$25:$K$25))/STDEVP('Main-Analytics'!$C$25:$K$25)</f>
        <v>0.364027260605583</v>
      </c>
      <c r="D25" s="12" t="n">
        <f aca="false">('Main-Analytics'!D25-AVERAGE('Main-Analytics'!$C$25:$K$25))/STDEVP('Main-Analytics'!$C$25:$K$25)</f>
        <v>0.930289999118943</v>
      </c>
      <c r="E25" s="12" t="n">
        <f aca="false">('Main-Analytics'!E25-AVERAGE('Main-Analytics'!$C$25:$K$25))/STDEVP('Main-Analytics'!$C$25:$K$25)</f>
        <v>-0.349281143825452</v>
      </c>
      <c r="F25" s="12" t="n">
        <f aca="false">('Main-Analytics'!F25-AVERAGE('Main-Analytics'!$C$25:$K$25))/STDEVP('Main-Analytics'!$C$25:$K$25)</f>
        <v>-2.36565512577003</v>
      </c>
      <c r="G25" s="12" t="n">
        <f aca="false">('Main-Analytics'!G25-AVERAGE('Main-Analytics'!$C$25:$K$25))/STDEVP('Main-Analytics'!$C$25:$K$25)</f>
        <v>0.732183993575927</v>
      </c>
      <c r="H25" s="12" t="n">
        <f aca="false">('Main-Analytics'!H25-AVERAGE('Main-Analytics'!$C$25:$K$25))/STDEVP('Main-Analytics'!$C$25:$K$25)</f>
        <v>1.01959084374724</v>
      </c>
      <c r="I25" s="12" t="n">
        <f aca="false">('Main-Analytics'!I25-AVERAGE('Main-Analytics'!$C$25:$K$25))/STDEVP('Main-Analytics'!$C$25:$K$25)</f>
        <v>-0.715557983061271</v>
      </c>
      <c r="J25" s="12" t="n">
        <f aca="false">('Main-Analytics'!J25-AVERAGE('Main-Analytics'!$C$25:$K$25))/STDEVP('Main-Analytics'!$C$25:$K$25)</f>
        <v>-0.0549411431109771</v>
      </c>
      <c r="K25" s="12" t="n">
        <f aca="false">('Main-Analytics'!K25-AVERAGE('Main-Analytics'!$C$25:$K$25))/STDEVP('Main-Analytics'!$C$25:$K$25)</f>
        <v>0.439343298720038</v>
      </c>
    </row>
    <row r="26" customFormat="false" ht="15" hidden="false" customHeight="false" outlineLevel="0" collapsed="false">
      <c r="A26" s="0" t="s">
        <v>421</v>
      </c>
      <c r="B26" s="0" t="s">
        <v>422</v>
      </c>
      <c r="C26" s="12" t="n">
        <f aca="false">('Main-Analytics'!C26-AVERAGE('Main-Analytics'!$C$26:$K$26))/STDEVP('Main-Analytics'!$C$26:$K$26)</f>
        <v>-1.11113096996315</v>
      </c>
      <c r="D26" s="12" t="n">
        <f aca="false">('Main-Analytics'!D26-AVERAGE('Main-Analytics'!$C$26:$K$26))/STDEVP('Main-Analytics'!$C$26:$K$26)</f>
        <v>0.0416710919140619</v>
      </c>
      <c r="E26" s="12" t="n">
        <f aca="false">('Main-Analytics'!E26-AVERAGE('Main-Analytics'!$C$26:$K$26))/STDEVP('Main-Analytics'!$C$26:$K$26)</f>
        <v>0.728343295816799</v>
      </c>
      <c r="F26" s="12" t="n">
        <f aca="false">('Main-Analytics'!F26-AVERAGE('Main-Analytics'!$C$26:$K$26))/STDEVP('Main-Analytics'!$C$26:$K$26)</f>
        <v>-2.14622937390818</v>
      </c>
      <c r="G26" s="12" t="n">
        <f aca="false">('Main-Analytics'!G26-AVERAGE('Main-Analytics'!$C$26:$K$26))/STDEVP('Main-Analytics'!$C$26:$K$26)</f>
        <v>-0.495024222183534</v>
      </c>
      <c r="H26" s="12" t="n">
        <f aca="false">('Main-Analytics'!H26-AVERAGE('Main-Analytics'!$C$26:$K$26))/STDEVP('Main-Analytics'!$C$26:$K$26)</f>
        <v>0.900751979236024</v>
      </c>
      <c r="I26" s="12" t="n">
        <f aca="false">('Main-Analytics'!I26-AVERAGE('Main-Analytics'!$C$26:$K$26))/STDEVP('Main-Analytics'!$C$26:$K$26)</f>
        <v>0.960151307368506</v>
      </c>
      <c r="J26" s="12" t="n">
        <f aca="false">('Main-Analytics'!J26-AVERAGE('Main-Analytics'!$C$26:$K$26))/STDEVP('Main-Analytics'!$C$26:$K$26)</f>
        <v>0.660054564965737</v>
      </c>
      <c r="K26" s="12" t="n">
        <f aca="false">('Main-Analytics'!K26-AVERAGE('Main-Analytics'!$C$26:$K$26))/STDEVP('Main-Analytics'!$C$26:$K$26)</f>
        <v>0.461412326753731</v>
      </c>
    </row>
    <row r="27" customFormat="false" ht="15" hidden="false" customHeight="false" outlineLevel="0" collapsed="false">
      <c r="A27" s="0" t="s">
        <v>441</v>
      </c>
      <c r="B27" s="0" t="s">
        <v>442</v>
      </c>
      <c r="C27" s="12" t="n">
        <f aca="false">('Main-Analytics'!C27-AVERAGE('Main-Analytics'!$C$27:$K$27))/STDEVP('Main-Analytics'!$C$27:$K$27)</f>
        <v>-0.350697342004343</v>
      </c>
      <c r="D27" s="12" t="n">
        <f aca="false">('Main-Analytics'!D27-AVERAGE('Main-Analytics'!$C$27:$K$27))/STDEVP('Main-Analytics'!$C$27:$K$27)</f>
        <v>-0.108659494373487</v>
      </c>
      <c r="E27" s="12" t="n">
        <f aca="false">('Main-Analytics'!E27-AVERAGE('Main-Analytics'!$C$27:$K$27))/STDEVP('Main-Analytics'!$C$27:$K$27)</f>
        <v>0.779994641001828</v>
      </c>
      <c r="F27" s="12" t="n">
        <f aca="false">('Main-Analytics'!F27-AVERAGE('Main-Analytics'!$C$27:$K$27))/STDEVP('Main-Analytics'!$C$27:$K$27)</f>
        <v>-2.41121695819628</v>
      </c>
      <c r="G27" s="12" t="n">
        <f aca="false">('Main-Analytics'!G27-AVERAGE('Main-Analytics'!$C$27:$K$27))/STDEVP('Main-Analytics'!$C$27:$K$27)</f>
        <v>0.264639117942713</v>
      </c>
      <c r="H27" s="12" t="n">
        <f aca="false">('Main-Analytics'!H27-AVERAGE('Main-Analytics'!$C$27:$K$27))/STDEVP('Main-Analytics'!$C$27:$K$27)</f>
        <v>0.826364828943518</v>
      </c>
      <c r="I27" s="12" t="n">
        <f aca="false">('Main-Analytics'!I27-AVERAGE('Main-Analytics'!$C$27:$K$27))/STDEVP('Main-Analytics'!$C$27:$K$27)</f>
        <v>1.23439033464478</v>
      </c>
      <c r="J27" s="12" t="n">
        <f aca="false">('Main-Analytics'!J27-AVERAGE('Main-Analytics'!$C$27:$K$27))/STDEVP('Main-Analytics'!$C$27:$K$27)</f>
        <v>-0.380698624808199</v>
      </c>
      <c r="K27" s="12" t="n">
        <f aca="false">('Main-Analytics'!K27-AVERAGE('Main-Analytics'!$C$27:$K$27))/STDEVP('Main-Analytics'!$C$27:$K$27)</f>
        <v>0.145883496849477</v>
      </c>
    </row>
    <row r="28" customFormat="false" ht="15" hidden="false" customHeight="false" outlineLevel="0" collapsed="false">
      <c r="A28" s="0" t="s">
        <v>459</v>
      </c>
      <c r="B28" s="0" t="s">
        <v>460</v>
      </c>
      <c r="C28" s="12" t="n">
        <f aca="false">('Main-Analytics'!C28-AVERAGE('Main-Analytics'!$C$28:$K$28))/STDEVP('Main-Analytics'!$C$28:$K$28)</f>
        <v>-1.27306692378592</v>
      </c>
      <c r="D28" s="12" t="n">
        <f aca="false">('Main-Analytics'!D28-AVERAGE('Main-Analytics'!$C$28:$K$28))/STDEVP('Main-Analytics'!$C$28:$K$28)</f>
        <v>-0.656506310189963</v>
      </c>
      <c r="E28" s="12" t="n">
        <f aca="false">('Main-Analytics'!E28-AVERAGE('Main-Analytics'!$C$28:$K$28))/STDEVP('Main-Analytics'!$C$28:$K$28)</f>
        <v>0.483683134715421</v>
      </c>
      <c r="F28" s="12" t="n">
        <f aca="false">('Main-Analytics'!F28-AVERAGE('Main-Analytics'!$C$28:$K$28))/STDEVP('Main-Analytics'!$C$28:$K$28)</f>
        <v>0.0758305735447313</v>
      </c>
      <c r="G28" s="12" t="n">
        <f aca="false">('Main-Analytics'!G28-AVERAGE('Main-Analytics'!$C$28:$K$28))/STDEVP('Main-Analytics'!$C$28:$K$28)</f>
        <v>-0.266330347129865</v>
      </c>
      <c r="H28" s="12" t="n">
        <f aca="false">('Main-Analytics'!H28-AVERAGE('Main-Analytics'!$C$28:$K$28))/STDEVP('Main-Analytics'!$C$28:$K$28)</f>
        <v>-0.340010514032437</v>
      </c>
      <c r="I28" s="12" t="n">
        <f aca="false">('Main-Analytics'!I28-AVERAGE('Main-Analytics'!$C$28:$K$28))/STDEVP('Main-Analytics'!$C$28:$K$28)</f>
        <v>-0.424987699361135</v>
      </c>
      <c r="J28" s="12" t="n">
        <f aca="false">('Main-Analytics'!J28-AVERAGE('Main-Analytics'!$C$28:$K$28))/STDEVP('Main-Analytics'!$C$28:$K$28)</f>
        <v>-0.11424217265704</v>
      </c>
      <c r="K28" s="12" t="n">
        <f aca="false">('Main-Analytics'!K28-AVERAGE('Main-Analytics'!$C$28:$K$28))/STDEVP('Main-Analytics'!$C$28:$K$28)</f>
        <v>2.5156302588962</v>
      </c>
    </row>
    <row r="30" customFormat="false" ht="16.15" hidden="false" customHeight="false" outlineLevel="0" collapsed="false">
      <c r="A30" s="2" t="s">
        <v>504</v>
      </c>
    </row>
    <row r="31" customFormat="false" ht="41.75" hidden="false" customHeight="false" outlineLevel="0" collapsed="false">
      <c r="A31" s="3" t="s">
        <v>311</v>
      </c>
      <c r="B31" s="3" t="s">
        <v>313</v>
      </c>
      <c r="C31" s="11" t="s">
        <v>493</v>
      </c>
      <c r="D31" s="11" t="s">
        <v>494</v>
      </c>
      <c r="E31" s="11" t="s">
        <v>495</v>
      </c>
      <c r="F31" s="11" t="s">
        <v>496</v>
      </c>
      <c r="G31" s="11" t="s">
        <v>497</v>
      </c>
      <c r="H31" s="11" t="s">
        <v>498</v>
      </c>
      <c r="I31" s="11" t="s">
        <v>499</v>
      </c>
      <c r="J31" s="11" t="s">
        <v>500</v>
      </c>
      <c r="K31" s="11" t="s">
        <v>501</v>
      </c>
      <c r="L31" s="11" t="s">
        <v>502</v>
      </c>
    </row>
    <row r="32" customFormat="false" ht="15" hidden="false" customHeight="false" outlineLevel="0" collapsed="false">
      <c r="A32" s="0" t="s">
        <v>315</v>
      </c>
      <c r="B32" s="0" t="s">
        <v>317</v>
      </c>
      <c r="C32" s="8" t="n">
        <f aca="false">AVERAGE('Import-dataset'!B4:B13)</f>
        <v>18037.8</v>
      </c>
      <c r="D32" s="8" t="n">
        <f aca="false">MEDIAN('Import-dataset'!B4:B13)</f>
        <v>17272.5</v>
      </c>
      <c r="E32" s="8" t="n">
        <f aca="false">STDEVP('Import-dataset'!B4:B13)</f>
        <v>3284.53539484658</v>
      </c>
      <c r="F32" s="12" t="n">
        <f aca="false">STDEVP('Import-dataset'!B4:B13)/AVERAGE('Import-dataset'!B4:B13)</f>
        <v>0.182091795831342</v>
      </c>
      <c r="G32" s="8" t="n">
        <f aca="false">MIN('Import-dataset'!B4:B13)</f>
        <v>13977</v>
      </c>
      <c r="H32" s="8" t="n">
        <f aca="false">MAX('Import-dataset'!B4:B13)</f>
        <v>24515</v>
      </c>
      <c r="I32" s="8" t="n">
        <f aca="false">MAX('Import-dataset'!B4:B13)-MIN('Import-dataset'!B4:B13)</f>
        <v>10538</v>
      </c>
      <c r="J32" s="8" t="n">
        <f aca="false">SLOPE('Import-dataset'!B4:B13,Keys!$B$3:$B$12)</f>
        <v>1091.32121212121</v>
      </c>
      <c r="K32" s="8" t="n">
        <f aca="false">INTERCEPT('Import-dataset'!B4:B13,Keys!$B$3:$B$12)</f>
        <v>-2186976.70909091</v>
      </c>
      <c r="L32" s="12" t="n">
        <f aca="false">RSQ('Import-dataset'!B4:B13,Keys!$B$3:$B$12)</f>
        <v>0.910775311055745</v>
      </c>
    </row>
    <row r="33" customFormat="false" ht="15" hidden="false" customHeight="false" outlineLevel="0" collapsed="false">
      <c r="A33" s="0" t="s">
        <v>339</v>
      </c>
      <c r="B33" s="0" t="s">
        <v>340</v>
      </c>
      <c r="C33" s="8" t="n">
        <f aca="false">AVERAGE('Import-dataset'!M4:M13)</f>
        <v>3491.4</v>
      </c>
      <c r="D33" s="8" t="n">
        <f aca="false">MEDIAN('Import-dataset'!M4:M13)</f>
        <v>3462</v>
      </c>
      <c r="E33" s="8" t="n">
        <f aca="false">STDEVP('Import-dataset'!M4:M13)</f>
        <v>187.655642068124</v>
      </c>
      <c r="F33" s="12" t="n">
        <f aca="false">STDEVP('Import-dataset'!M4:M13)/AVERAGE('Import-dataset'!M4:M13)</f>
        <v>0.0537479641599715</v>
      </c>
      <c r="G33" s="8" t="n">
        <f aca="false">MIN('Import-dataset'!M4:M13)</f>
        <v>3271</v>
      </c>
      <c r="H33" s="8" t="n">
        <f aca="false">MAX('Import-dataset'!M4:M13)</f>
        <v>3850</v>
      </c>
      <c r="I33" s="8" t="n">
        <f aca="false">MAX('Import-dataset'!M4:M13)-MIN('Import-dataset'!M4:M13)</f>
        <v>579</v>
      </c>
      <c r="J33" s="8" t="n">
        <f aca="false">SLOPE('Import-dataset'!M4:M13,Keys!$B$3:$B$12)</f>
        <v>8.64242424242424</v>
      </c>
      <c r="K33" s="8" t="n">
        <f aca="false">INTERCEPT('Import-dataset'!M4:M13,Keys!$B$3:$B$12)</f>
        <v>-13970.6181818182</v>
      </c>
      <c r="L33" s="12" t="n">
        <f aca="false">RSQ('Import-dataset'!M4:M13,Keys!$B$3:$B$12)</f>
        <v>0.0174985417566344</v>
      </c>
    </row>
    <row r="34" customFormat="false" ht="15" hidden="false" customHeight="false" outlineLevel="0" collapsed="false">
      <c r="A34" s="0" t="s">
        <v>345</v>
      </c>
      <c r="B34" s="0" t="s">
        <v>346</v>
      </c>
      <c r="C34" s="8" t="n">
        <f aca="false">AVERAGE('Import-dataset'!P4:P13)</f>
        <v>3936.5</v>
      </c>
      <c r="D34" s="8" t="n">
        <f aca="false">MEDIAN('Import-dataset'!P4:P13)</f>
        <v>3958</v>
      </c>
      <c r="E34" s="8" t="n">
        <f aca="false">STDEVP('Import-dataset'!P4:P13)</f>
        <v>651.991756082851</v>
      </c>
      <c r="F34" s="12" t="n">
        <f aca="false">STDEVP('Import-dataset'!P4:P13)/AVERAGE('Import-dataset'!P4:P13)</f>
        <v>0.165627271963127</v>
      </c>
      <c r="G34" s="8" t="n">
        <f aca="false">MIN('Import-dataset'!P4:P13)</f>
        <v>3138</v>
      </c>
      <c r="H34" s="8" t="n">
        <f aca="false">MAX('Import-dataset'!P4:P13)</f>
        <v>5285</v>
      </c>
      <c r="I34" s="8" t="n">
        <f aca="false">MAX('Import-dataset'!P4:P13)-MIN('Import-dataset'!P4:P13)</f>
        <v>2147</v>
      </c>
      <c r="J34" s="8" t="n">
        <f aca="false">SLOPE('Import-dataset'!P4:P13,Keys!$B$3:$B$12)</f>
        <v>169.70303030303</v>
      </c>
      <c r="K34" s="8" t="n">
        <f aca="false">INTERCEPT('Import-dataset'!P4:P13,Keys!$B$3:$B$12)</f>
        <v>-338948.472727273</v>
      </c>
      <c r="L34" s="12" t="n">
        <f aca="false">RSQ('Import-dataset'!P4:P13,Keys!$B$3:$B$12)</f>
        <v>0.558919078521613</v>
      </c>
    </row>
    <row r="35" customFormat="false" ht="15" hidden="false" customHeight="false" outlineLevel="0" collapsed="false">
      <c r="A35" s="0" t="s">
        <v>365</v>
      </c>
      <c r="B35" s="0" t="s">
        <v>366</v>
      </c>
      <c r="C35" s="8" t="n">
        <f aca="false">AVERAGE('Import-dataset'!Z4:Z13)</f>
        <v>42683.9</v>
      </c>
      <c r="D35" s="8" t="n">
        <f aca="false">MEDIAN('Import-dataset'!Z4:Z13)</f>
        <v>39653</v>
      </c>
      <c r="E35" s="8" t="n">
        <f aca="false">STDEVP('Import-dataset'!Z4:Z13)</f>
        <v>14717.9740416268</v>
      </c>
      <c r="F35" s="12" t="n">
        <f aca="false">STDEVP('Import-dataset'!Z4:Z13)/AVERAGE('Import-dataset'!Z4:Z13)</f>
        <v>0.344813244376142</v>
      </c>
      <c r="G35" s="8" t="n">
        <f aca="false">MIN('Import-dataset'!Z4:Z13)</f>
        <v>23108</v>
      </c>
      <c r="H35" s="8" t="n">
        <f aca="false">MAX('Import-dataset'!Z4:Z13)</f>
        <v>65806</v>
      </c>
      <c r="I35" s="8" t="n">
        <f aca="false">MAX('Import-dataset'!Z4:Z13)-MIN('Import-dataset'!Z4:Z13)</f>
        <v>42698</v>
      </c>
      <c r="J35" s="8" t="n">
        <f aca="false">SLOPE('Import-dataset'!Z4:Z13,Keys!$B$3:$B$12)</f>
        <v>3931.32727272727</v>
      </c>
      <c r="K35" s="8" t="n">
        <f aca="false">INTERCEPT('Import-dataset'!Z4:Z13,Keys!$B$3:$B$12)</f>
        <v>-7900562.85454545</v>
      </c>
      <c r="L35" s="12" t="n">
        <f aca="false">RSQ('Import-dataset'!Z4:Z13,Keys!$B$3:$B$12)</f>
        <v>0.588621717705266</v>
      </c>
    </row>
    <row r="36" customFormat="false" ht="15" hidden="false" customHeight="false" outlineLevel="0" collapsed="false">
      <c r="A36" s="0" t="s">
        <v>373</v>
      </c>
      <c r="B36" s="0" t="s">
        <v>374</v>
      </c>
      <c r="C36" s="8" t="n">
        <f aca="false">AVERAGE('Import-dataset'!AD4:AD13)</f>
        <v>910.1</v>
      </c>
      <c r="D36" s="8" t="n">
        <f aca="false">MEDIAN('Import-dataset'!AD4:AD13)</f>
        <v>798.5</v>
      </c>
      <c r="E36" s="8" t="n">
        <f aca="false">STDEVP('Import-dataset'!AD4:AD13)</f>
        <v>217.028776893757</v>
      </c>
      <c r="F36" s="12" t="n">
        <f aca="false">STDEVP('Import-dataset'!AD4:AD13)/AVERAGE('Import-dataset'!AD4:AD13)</f>
        <v>0.238466956261682</v>
      </c>
      <c r="G36" s="8" t="n">
        <f aca="false">MIN('Import-dataset'!AD4:AD13)</f>
        <v>700</v>
      </c>
      <c r="H36" s="8" t="n">
        <f aca="false">MAX('Import-dataset'!AD4:AD13)</f>
        <v>1282</v>
      </c>
      <c r="I36" s="8" t="n">
        <f aca="false">MAX('Import-dataset'!AD4:AD13)-MIN('Import-dataset'!AD4:AD13)</f>
        <v>582</v>
      </c>
      <c r="J36" s="8" t="n">
        <f aca="false">SLOPE('Import-dataset'!AD4:AD13,Keys!$B$3:$B$12)</f>
        <v>69.4242424242424</v>
      </c>
      <c r="K36" s="8" t="n">
        <f aca="false">INTERCEPT('Import-dataset'!AD4:AD13,Keys!$B$3:$B$12)</f>
        <v>-139361.581818182</v>
      </c>
      <c r="L36" s="12" t="n">
        <f aca="false">RSQ('Import-dataset'!AD4:AD13,Keys!$B$3:$B$12)</f>
        <v>0.844192717650436</v>
      </c>
    </row>
    <row r="37" customFormat="false" ht="15" hidden="false" customHeight="false" outlineLevel="0" collapsed="false">
      <c r="A37" s="0" t="s">
        <v>381</v>
      </c>
      <c r="B37" s="0" t="s">
        <v>382</v>
      </c>
      <c r="C37" s="8" t="n">
        <f aca="false">AVERAGE('Import-dataset'!AH4:AH13)</f>
        <v>37386.3</v>
      </c>
      <c r="D37" s="8" t="n">
        <f aca="false">MEDIAN('Import-dataset'!AH4:AH13)</f>
        <v>35156</v>
      </c>
      <c r="E37" s="8" t="n">
        <f aca="false">STDEVP('Import-dataset'!AH4:AH13)</f>
        <v>8278.53604268291</v>
      </c>
      <c r="F37" s="12" t="n">
        <f aca="false">STDEVP('Import-dataset'!AH4:AH13)/AVERAGE('Import-dataset'!AH4:AH13)</f>
        <v>0.221432344005235</v>
      </c>
      <c r="G37" s="8" t="n">
        <f aca="false">MIN('Import-dataset'!AH4:AH13)</f>
        <v>27705</v>
      </c>
      <c r="H37" s="8" t="n">
        <f aca="false">MAX('Import-dataset'!AH4:AH13)</f>
        <v>51393</v>
      </c>
      <c r="I37" s="8" t="n">
        <f aca="false">MAX('Import-dataset'!AH4:AH13)-MIN('Import-dataset'!AH4:AH13)</f>
        <v>23688</v>
      </c>
      <c r="J37" s="8" t="n">
        <f aca="false">SLOPE('Import-dataset'!AH4:AH13,Keys!$B$3:$B$12)</f>
        <v>2596.26060606061</v>
      </c>
      <c r="K37" s="8" t="n">
        <f aca="false">INTERCEPT('Import-dataset'!AH4:AH13,Keys!$B$3:$B$12)</f>
        <v>-5208358.25454546</v>
      </c>
      <c r="L37" s="12" t="n">
        <f aca="false">RSQ('Import-dataset'!AH4:AH13,Keys!$B$3:$B$12)</f>
        <v>0.811415740174019</v>
      </c>
    </row>
    <row r="38" customFormat="false" ht="15" hidden="false" customHeight="false" outlineLevel="0" collapsed="false">
      <c r="A38" s="0" t="s">
        <v>401</v>
      </c>
      <c r="B38" s="0" t="s">
        <v>402</v>
      </c>
      <c r="C38" s="8" t="n">
        <f aca="false">AVERAGE('Import-dataset'!AR4:AR13)</f>
        <v>36717.3</v>
      </c>
      <c r="D38" s="8" t="n">
        <f aca="false">MEDIAN('Import-dataset'!AR4:AR13)</f>
        <v>35688</v>
      </c>
      <c r="E38" s="8" t="n">
        <f aca="false">STDEVP('Import-dataset'!AR4:AR13)</f>
        <v>6162.99811861078</v>
      </c>
      <c r="F38" s="12" t="n">
        <f aca="false">STDEVP('Import-dataset'!AR4:AR13)/AVERAGE('Import-dataset'!AR4:AR13)</f>
        <v>0.167849981306109</v>
      </c>
      <c r="G38" s="8" t="n">
        <f aca="false">MIN('Import-dataset'!AR4:AR13)</f>
        <v>28223</v>
      </c>
      <c r="H38" s="8" t="n">
        <f aca="false">MAX('Import-dataset'!AR4:AR13)</f>
        <v>45872</v>
      </c>
      <c r="I38" s="8" t="n">
        <f aca="false">MAX('Import-dataset'!AR4:AR13)-MIN('Import-dataset'!AR4:AR13)</f>
        <v>17649</v>
      </c>
      <c r="J38" s="8" t="n">
        <f aca="false">SLOPE('Import-dataset'!AR4:AR13,Keys!$B$3:$B$12)</f>
        <v>2072.6</v>
      </c>
      <c r="K38" s="8" t="n">
        <f aca="false">INTERCEPT('Import-dataset'!AR4:AR13,Keys!$B$3:$B$12)</f>
        <v>-4150971</v>
      </c>
      <c r="L38" s="12" t="n">
        <f aca="false">RSQ('Import-dataset'!AR4:AR13,Keys!$B$3:$B$12)</f>
        <v>0.933041296054189</v>
      </c>
    </row>
    <row r="39" customFormat="false" ht="15" hidden="false" customHeight="false" outlineLevel="0" collapsed="false">
      <c r="A39" s="0" t="s">
        <v>421</v>
      </c>
      <c r="B39" s="0" t="s">
        <v>422</v>
      </c>
      <c r="C39" s="8" t="n">
        <f aca="false">AVERAGE('Import-dataset'!BB4:BB13)</f>
        <v>142300.3</v>
      </c>
      <c r="D39" s="8" t="n">
        <f aca="false">MEDIAN('Import-dataset'!BB4:BB13)</f>
        <v>129345.5</v>
      </c>
      <c r="E39" s="8" t="n">
        <f aca="false">STDEVP('Import-dataset'!BB4:BB13)</f>
        <v>29129.2276281058</v>
      </c>
      <c r="F39" s="12" t="n">
        <f aca="false">STDEVP('Import-dataset'!BB4:BB13)/AVERAGE('Import-dataset'!BB4:BB13)</f>
        <v>0.204702503284292</v>
      </c>
      <c r="G39" s="8" t="n">
        <f aca="false">MIN('Import-dataset'!BB4:BB13)</f>
        <v>103332</v>
      </c>
      <c r="H39" s="8" t="n">
        <f aca="false">MAX('Import-dataset'!BB4:BB13)</f>
        <v>190956</v>
      </c>
      <c r="I39" s="8" t="n">
        <f aca="false">MAX('Import-dataset'!BB4:BB13)-MIN('Import-dataset'!BB4:BB13)</f>
        <v>87624</v>
      </c>
      <c r="J39" s="8" t="n">
        <f aca="false">SLOPE('Import-dataset'!BB4:BB13,Keys!$B$3:$B$12)</f>
        <v>9722.07878787879</v>
      </c>
      <c r="K39" s="8" t="n">
        <f aca="false">INTERCEPT('Import-dataset'!BB4:BB13,Keys!$B$3:$B$12)</f>
        <v>-19501159.8909091</v>
      </c>
      <c r="L39" s="12" t="n">
        <f aca="false">RSQ('Import-dataset'!BB4:BB13,Keys!$B$3:$B$12)</f>
        <v>0.91899739958889</v>
      </c>
    </row>
    <row r="40" customFormat="false" ht="15" hidden="false" customHeight="false" outlineLevel="0" collapsed="false">
      <c r="A40" s="0" t="s">
        <v>441</v>
      </c>
      <c r="B40" s="0" t="s">
        <v>442</v>
      </c>
      <c r="C40" s="8" t="n">
        <f aca="false">AVERAGE('Import-dataset'!BL4:BL13)</f>
        <v>50322.4</v>
      </c>
      <c r="D40" s="8" t="n">
        <f aca="false">MEDIAN('Import-dataset'!BL4:BL13)</f>
        <v>48219.5</v>
      </c>
      <c r="E40" s="8" t="n">
        <f aca="false">STDEVP('Import-dataset'!BL4:BL13)</f>
        <v>7663.61130538338</v>
      </c>
      <c r="F40" s="12" t="n">
        <f aca="false">STDEVP('Import-dataset'!BL4:BL13)/AVERAGE('Import-dataset'!BL4:BL13)</f>
        <v>0.152290258520726</v>
      </c>
      <c r="G40" s="8" t="n">
        <f aca="false">MIN('Import-dataset'!BL4:BL13)</f>
        <v>40365</v>
      </c>
      <c r="H40" s="8" t="n">
        <f aca="false">MAX('Import-dataset'!BL4:BL13)</f>
        <v>63028</v>
      </c>
      <c r="I40" s="8" t="n">
        <f aca="false">MAX('Import-dataset'!BL4:BL13)-MIN('Import-dataset'!BL4:BL13)</f>
        <v>22663</v>
      </c>
      <c r="J40" s="8" t="n">
        <f aca="false">SLOPE('Import-dataset'!BL4:BL13,Keys!$B$3:$B$12)</f>
        <v>2604.43636363636</v>
      </c>
      <c r="K40" s="8" t="n">
        <f aca="false">INTERCEPT('Import-dataset'!BL4:BL13,Keys!$B$3:$B$12)</f>
        <v>-5211941.27272727</v>
      </c>
      <c r="L40" s="12" t="n">
        <f aca="false">RSQ('Import-dataset'!BL4:BL13,Keys!$B$3:$B$12)</f>
        <v>0.952827999141277</v>
      </c>
    </row>
    <row r="41" customFormat="false" ht="15" hidden="false" customHeight="false" outlineLevel="0" collapsed="false">
      <c r="A41" s="0" t="s">
        <v>459</v>
      </c>
      <c r="B41" s="0" t="s">
        <v>460</v>
      </c>
      <c r="C41" s="8" t="n">
        <f aca="false">AVERAGE('Import-dataset'!BU4:BU13)</f>
        <v>14183.4</v>
      </c>
      <c r="D41" s="8" t="n">
        <f aca="false">MEDIAN('Import-dataset'!BU4:BU13)</f>
        <v>12216</v>
      </c>
      <c r="E41" s="8" t="n">
        <f aca="false">STDEVP('Import-dataset'!BU4:BU13)</f>
        <v>4838.70735217579</v>
      </c>
      <c r="F41" s="12" t="n">
        <f aca="false">STDEVP('Import-dataset'!BU4:BU13)/AVERAGE('Import-dataset'!BU4:BU13)</f>
        <v>0.341152851373845</v>
      </c>
      <c r="G41" s="8" t="n">
        <f aca="false">MIN('Import-dataset'!BU4:BU13)</f>
        <v>9962</v>
      </c>
      <c r="H41" s="8" t="n">
        <f aca="false">MAX('Import-dataset'!BU4:BU13)</f>
        <v>25622</v>
      </c>
      <c r="I41" s="8" t="n">
        <f aca="false">MAX('Import-dataset'!BU4:BU13)-MIN('Import-dataset'!BU4:BU13)</f>
        <v>15660</v>
      </c>
      <c r="J41" s="8" t="n">
        <f aca="false">SLOPE('Import-dataset'!BU4:BU13,Keys!$B$3:$B$12)</f>
        <v>545.733333333333</v>
      </c>
      <c r="K41" s="8" t="n">
        <f aca="false">INTERCEPT('Import-dataset'!BU4:BU13,Keys!$B$3:$B$12)</f>
        <v>-1088470.8</v>
      </c>
      <c r="L41" s="12" t="n">
        <f aca="false">RSQ('Import-dataset'!BU4:BU13,Keys!$B$3:$B$12)</f>
        <v>0.104943657945248</v>
      </c>
    </row>
    <row r="43" customFormat="false" ht="16.15" hidden="false" customHeight="false" outlineLevel="0" collapsed="false">
      <c r="A43" s="2" t="s">
        <v>505</v>
      </c>
    </row>
    <row r="44" customFormat="false" ht="15" hidden="false" customHeight="false" outlineLevel="0" collapsed="false">
      <c r="A44" s="3" t="s">
        <v>311</v>
      </c>
      <c r="B44" s="3" t="s">
        <v>313</v>
      </c>
      <c r="C44" s="7" t="n">
        <v>2017</v>
      </c>
      <c r="D44" s="7" t="n">
        <v>2018</v>
      </c>
      <c r="E44" s="7" t="n">
        <v>2019</v>
      </c>
      <c r="F44" s="7" t="n">
        <v>2020</v>
      </c>
      <c r="G44" s="7" t="n">
        <v>2021</v>
      </c>
      <c r="H44" s="7" t="n">
        <v>2022</v>
      </c>
      <c r="I44" s="7" t="n">
        <v>2023</v>
      </c>
      <c r="J44" s="7" t="n">
        <v>2024</v>
      </c>
      <c r="K44" s="7" t="n">
        <v>2025</v>
      </c>
    </row>
    <row r="45" customFormat="false" ht="15" hidden="false" customHeight="false" outlineLevel="0" collapsed="false">
      <c r="A45" s="0" t="s">
        <v>315</v>
      </c>
      <c r="B45" s="0" t="s">
        <v>317</v>
      </c>
      <c r="C45" s="12" t="n">
        <f aca="false">('Main-Analytics'!C84-AVERAGE('Main-Analytics'!$C$84:$K$84))/STDEVP('Main-Analytics'!$C$84:$K$84)</f>
        <v>-0.599284850710886</v>
      </c>
      <c r="D45" s="12" t="n">
        <f aca="false">('Main-Analytics'!D84-AVERAGE('Main-Analytics'!$C$84:$K$84))/STDEVP('Main-Analytics'!$C$84:$K$84)</f>
        <v>-0.124368366727819</v>
      </c>
      <c r="E45" s="12" t="n">
        <f aca="false">('Main-Analytics'!E84-AVERAGE('Main-Analytics'!$C$84:$K$84))/STDEVP('Main-Analytics'!$C$84:$K$84)</f>
        <v>0.721961071628422</v>
      </c>
      <c r="F45" s="12" t="n">
        <f aca="false">('Main-Analytics'!F84-AVERAGE('Main-Analytics'!$C$84:$K$84))/STDEVP('Main-Analytics'!$C$84:$K$84)</f>
        <v>-0.37757558238347</v>
      </c>
      <c r="G45" s="12" t="n">
        <f aca="false">('Main-Analytics'!G84-AVERAGE('Main-Analytics'!$C$84:$K$84))/STDEVP('Main-Analytics'!$C$84:$K$84)</f>
        <v>-1.85754550546967</v>
      </c>
      <c r="H45" s="12" t="n">
        <f aca="false">('Main-Analytics'!H84-AVERAGE('Main-Analytics'!$C$84:$K$84))/STDEVP('Main-Analytics'!$C$84:$K$84)</f>
        <v>1.68647695325941</v>
      </c>
      <c r="I45" s="12" t="n">
        <f aca="false">('Main-Analytics'!I84-AVERAGE('Main-Analytics'!$C$84:$K$84))/STDEVP('Main-Analytics'!$C$84:$K$84)</f>
        <v>-0.804321915078209</v>
      </c>
      <c r="J45" s="12" t="n">
        <f aca="false">('Main-Analytics'!J84-AVERAGE('Main-Analytics'!$C$84:$K$84))/STDEVP('Main-Analytics'!$C$84:$K$84)</f>
        <v>0.903643141243106</v>
      </c>
      <c r="K45" s="12" t="n">
        <f aca="false">('Main-Analytics'!K84-AVERAGE('Main-Analytics'!$C$84:$K$84))/STDEVP('Main-Analytics'!$C$84:$K$84)</f>
        <v>0.45101505423912</v>
      </c>
    </row>
    <row r="46" customFormat="false" ht="15" hidden="false" customHeight="false" outlineLevel="0" collapsed="false">
      <c r="A46" s="0" t="s">
        <v>339</v>
      </c>
      <c r="B46" s="0" t="s">
        <v>340</v>
      </c>
      <c r="C46" s="12" t="n">
        <f aca="false">('Main-Analytics'!C85-AVERAGE('Main-Analytics'!$C$85:$K$85))/STDEVP('Main-Analytics'!$C$85:$K$85)</f>
        <v>-0.0235030568718929</v>
      </c>
      <c r="D46" s="12" t="n">
        <f aca="false">('Main-Analytics'!D85-AVERAGE('Main-Analytics'!$C$85:$K$85))/STDEVP('Main-Analytics'!$C$85:$K$85)</f>
        <v>1.058841399831</v>
      </c>
      <c r="E46" s="12" t="n">
        <f aca="false">('Main-Analytics'!E85-AVERAGE('Main-Analytics'!$C$85:$K$85))/STDEVP('Main-Analytics'!$C$85:$K$85)</f>
        <v>0.980195138183991</v>
      </c>
      <c r="F46" s="12" t="n">
        <f aca="false">('Main-Analytics'!F85-AVERAGE('Main-Analytics'!$C$85:$K$85))/STDEVP('Main-Analytics'!$C$85:$K$85)</f>
        <v>-1.3362018635291</v>
      </c>
      <c r="G46" s="12" t="n">
        <f aca="false">('Main-Analytics'!G85-AVERAGE('Main-Analytics'!$C$85:$K$85))/STDEVP('Main-Analytics'!$C$85:$K$85)</f>
        <v>-0.196355735109203</v>
      </c>
      <c r="H46" s="12" t="n">
        <f aca="false">('Main-Analytics'!H85-AVERAGE('Main-Analytics'!$C$85:$K$85))/STDEVP('Main-Analytics'!$C$85:$K$85)</f>
        <v>1.62221346771614</v>
      </c>
      <c r="I46" s="12" t="n">
        <f aca="false">('Main-Analytics'!I85-AVERAGE('Main-Analytics'!$C$85:$K$85))/STDEVP('Main-Analytics'!$C$85:$K$85)</f>
        <v>-1.35367524818521</v>
      </c>
      <c r="J46" s="12" t="n">
        <f aca="false">('Main-Analytics'!J85-AVERAGE('Main-Analytics'!$C$85:$K$85))/STDEVP('Main-Analytics'!$C$85:$K$85)</f>
        <v>-0.792367815056046</v>
      </c>
      <c r="K46" s="12" t="n">
        <f aca="false">('Main-Analytics'!K85-AVERAGE('Main-Analytics'!$C$85:$K$85))/STDEVP('Main-Analytics'!$C$85:$K$85)</f>
        <v>0.0408537130203177</v>
      </c>
    </row>
    <row r="47" customFormat="false" ht="15" hidden="false" customHeight="false" outlineLevel="0" collapsed="false">
      <c r="A47" s="0" t="s">
        <v>345</v>
      </c>
      <c r="B47" s="0" t="s">
        <v>346</v>
      </c>
      <c r="C47" s="12" t="n">
        <f aca="false">('Main-Analytics'!C86-AVERAGE('Main-Analytics'!$C$86:$K$86))/STDEVP('Main-Analytics'!$C$86:$K$86)</f>
        <v>0.217921446833549</v>
      </c>
      <c r="D47" s="12" t="n">
        <f aca="false">('Main-Analytics'!D86-AVERAGE('Main-Analytics'!$C$86:$K$86))/STDEVP('Main-Analytics'!$C$86:$K$86)</f>
        <v>0.33504089149686</v>
      </c>
      <c r="E47" s="12" t="n">
        <f aca="false">('Main-Analytics'!E86-AVERAGE('Main-Analytics'!$C$86:$K$86))/STDEVP('Main-Analytics'!$C$86:$K$86)</f>
        <v>-1.74127004684092</v>
      </c>
      <c r="F47" s="12" t="n">
        <f aca="false">('Main-Analytics'!F86-AVERAGE('Main-Analytics'!$C$86:$K$86))/STDEVP('Main-Analytics'!$C$86:$K$86)</f>
        <v>-0.198009487907216</v>
      </c>
      <c r="G47" s="12" t="n">
        <f aca="false">('Main-Analytics'!G86-AVERAGE('Main-Analytics'!$C$86:$K$86))/STDEVP('Main-Analytics'!$C$86:$K$86)</f>
        <v>1.44118008749152</v>
      </c>
      <c r="H47" s="12" t="n">
        <f aca="false">('Main-Analytics'!H86-AVERAGE('Main-Analytics'!$C$86:$K$86))/STDEVP('Main-Analytics'!$C$86:$K$86)</f>
        <v>0.15735147657862</v>
      </c>
      <c r="I47" s="12" t="n">
        <f aca="false">('Main-Analytics'!I86-AVERAGE('Main-Analytics'!$C$86:$K$86))/STDEVP('Main-Analytics'!$C$86:$K$86)</f>
        <v>-1.38773476081592</v>
      </c>
      <c r="J47" s="12" t="n">
        <f aca="false">('Main-Analytics'!J86-AVERAGE('Main-Analytics'!$C$86:$K$86))/STDEVP('Main-Analytics'!$C$86:$K$86)</f>
        <v>-0.136994008372009</v>
      </c>
      <c r="K47" s="12" t="n">
        <f aca="false">('Main-Analytics'!K86-AVERAGE('Main-Analytics'!$C$86:$K$86))/STDEVP('Main-Analytics'!$C$86:$K$86)</f>
        <v>1.31251440153551</v>
      </c>
    </row>
    <row r="48" customFormat="false" ht="15" hidden="false" customHeight="false" outlineLevel="0" collapsed="false">
      <c r="A48" s="0" t="s">
        <v>365</v>
      </c>
      <c r="B48" s="0" t="s">
        <v>366</v>
      </c>
      <c r="C48" s="12" t="n">
        <f aca="false">('Main-Analytics'!C87-AVERAGE('Main-Analytics'!$C$87:$K$87))/STDEVP('Main-Analytics'!$C$87:$K$87)</f>
        <v>0.298375077377808</v>
      </c>
      <c r="D48" s="12" t="n">
        <f aca="false">('Main-Analytics'!D87-AVERAGE('Main-Analytics'!$C$87:$K$87))/STDEVP('Main-Analytics'!$C$87:$K$87)</f>
        <v>0.559254202550941</v>
      </c>
      <c r="E48" s="12" t="n">
        <f aca="false">('Main-Analytics'!E87-AVERAGE('Main-Analytics'!$C$87:$K$87))/STDEVP('Main-Analytics'!$C$87:$K$87)</f>
        <v>-0.526264836529392</v>
      </c>
      <c r="F48" s="12" t="n">
        <f aca="false">('Main-Analytics'!F87-AVERAGE('Main-Analytics'!$C$87:$K$87))/STDEVP('Main-Analytics'!$C$87:$K$87)</f>
        <v>-1.5044635802452</v>
      </c>
      <c r="G48" s="12" t="n">
        <f aca="false">('Main-Analytics'!G87-AVERAGE('Main-Analytics'!$C$87:$K$87))/STDEVP('Main-Analytics'!$C$87:$K$87)</f>
        <v>0.926834359726715</v>
      </c>
      <c r="H48" s="12" t="n">
        <f aca="false">('Main-Analytics'!H87-AVERAGE('Main-Analytics'!$C$87:$K$87))/STDEVP('Main-Analytics'!$C$87:$K$87)</f>
        <v>2.03307691642933</v>
      </c>
      <c r="I48" s="12" t="n">
        <f aca="false">('Main-Analytics'!I87-AVERAGE('Main-Analytics'!$C$87:$K$87))/STDEVP('Main-Analytics'!$C$87:$K$87)</f>
        <v>-0.623370562492145</v>
      </c>
      <c r="J48" s="12" t="n">
        <f aca="false">('Main-Analytics'!J87-AVERAGE('Main-Analytics'!$C$87:$K$87))/STDEVP('Main-Analytics'!$C$87:$K$87)</f>
        <v>-0.585529966359614</v>
      </c>
      <c r="K48" s="12" t="n">
        <f aca="false">('Main-Analytics'!K87-AVERAGE('Main-Analytics'!$C$87:$K$87))/STDEVP('Main-Analytics'!$C$87:$K$87)</f>
        <v>-0.577911610458444</v>
      </c>
    </row>
    <row r="49" customFormat="false" ht="15" hidden="false" customHeight="false" outlineLevel="0" collapsed="false">
      <c r="A49" s="0" t="s">
        <v>373</v>
      </c>
      <c r="B49" s="0" t="s">
        <v>374</v>
      </c>
      <c r="C49" s="12" t="n">
        <f aca="false">('Main-Analytics'!C88-AVERAGE('Main-Analytics'!$C$88:$K$88))/STDEVP('Main-Analytics'!$C$88:$K$88)</f>
        <v>-0.575532289571772</v>
      </c>
      <c r="D49" s="12" t="n">
        <f aca="false">('Main-Analytics'!D88-AVERAGE('Main-Analytics'!$C$88:$K$88))/STDEVP('Main-Analytics'!$C$88:$K$88)</f>
        <v>0.000323773247091387</v>
      </c>
      <c r="E49" s="12" t="n">
        <f aca="false">('Main-Analytics'!E88-AVERAGE('Main-Analytics'!$C$88:$K$88))/STDEVP('Main-Analytics'!$C$88:$K$88)</f>
        <v>-0.916558819355204</v>
      </c>
      <c r="F49" s="12" t="n">
        <f aca="false">('Main-Analytics'!F88-AVERAGE('Main-Analytics'!$C$88:$K$88))/STDEVP('Main-Analytics'!$C$88:$K$88)</f>
        <v>-0.158061686371972</v>
      </c>
      <c r="G49" s="12" t="n">
        <f aca="false">('Main-Analytics'!G88-AVERAGE('Main-Analytics'!$C$88:$K$88))/STDEVP('Main-Analytics'!$C$88:$K$88)</f>
        <v>0.0620046316000202</v>
      </c>
      <c r="H49" s="12" t="n">
        <f aca="false">('Main-Analytics'!H88-AVERAGE('Main-Analytics'!$C$88:$K$88))/STDEVP('Main-Analytics'!$C$88:$K$88)</f>
        <v>1.862905488821</v>
      </c>
      <c r="I49" s="12" t="n">
        <f aca="false">('Main-Analytics'!I88-AVERAGE('Main-Analytics'!$C$88:$K$88))/STDEVP('Main-Analytics'!$C$88:$K$88)</f>
        <v>-1.35107410118773</v>
      </c>
      <c r="J49" s="12" t="n">
        <f aca="false">('Main-Analytics'!J88-AVERAGE('Main-Analytics'!$C$88:$K$88))/STDEVP('Main-Analytics'!$C$88:$K$88)</f>
        <v>1.51910704059889</v>
      </c>
      <c r="K49" s="12" t="n">
        <f aca="false">('Main-Analytics'!K88-AVERAGE('Main-Analytics'!$C$88:$K$88))/STDEVP('Main-Analytics'!$C$88:$K$88)</f>
        <v>-0.443114037780325</v>
      </c>
    </row>
    <row r="50" customFormat="false" ht="15" hidden="false" customHeight="false" outlineLevel="0" collapsed="false">
      <c r="A50" s="0" t="s">
        <v>381</v>
      </c>
      <c r="B50" s="0" t="s">
        <v>382</v>
      </c>
      <c r="C50" s="12" t="n">
        <f aca="false">('Main-Analytics'!C89-AVERAGE('Main-Analytics'!$C$89:$K$89))/STDEVP('Main-Analytics'!$C$89:$K$89)</f>
        <v>-0.427840088520051</v>
      </c>
      <c r="D50" s="12" t="n">
        <f aca="false">('Main-Analytics'!D89-AVERAGE('Main-Analytics'!$C$89:$K$89))/STDEVP('Main-Analytics'!$C$89:$K$89)</f>
        <v>-0.0500353429249205</v>
      </c>
      <c r="E50" s="12" t="n">
        <f aca="false">('Main-Analytics'!E89-AVERAGE('Main-Analytics'!$C$89:$K$89))/STDEVP('Main-Analytics'!$C$89:$K$89)</f>
        <v>-0.226287247109953</v>
      </c>
      <c r="F50" s="12" t="n">
        <f aca="false">('Main-Analytics'!F89-AVERAGE('Main-Analytics'!$C$89:$K$89))/STDEVP('Main-Analytics'!$C$89:$K$89)</f>
        <v>0.0205187189166761</v>
      </c>
      <c r="G50" s="12" t="n">
        <f aca="false">('Main-Analytics'!G89-AVERAGE('Main-Analytics'!$C$89:$K$89))/STDEVP('Main-Analytics'!$C$89:$K$89)</f>
        <v>0.309437056140155</v>
      </c>
      <c r="H50" s="12" t="n">
        <f aca="false">('Main-Analytics'!H89-AVERAGE('Main-Analytics'!$C$89:$K$89))/STDEVP('Main-Analytics'!$C$89:$K$89)</f>
        <v>2.3569315533479</v>
      </c>
      <c r="I50" s="12" t="n">
        <f aca="false">('Main-Analytics'!I89-AVERAGE('Main-Analytics'!$C$89:$K$89))/STDEVP('Main-Analytics'!$C$89:$K$89)</f>
        <v>-1.75637759299861</v>
      </c>
      <c r="J50" s="12" t="n">
        <f aca="false">('Main-Analytics'!J89-AVERAGE('Main-Analytics'!$C$89:$K$89))/STDEVP('Main-Analytics'!$C$89:$K$89)</f>
        <v>-0.140247537577797</v>
      </c>
      <c r="K50" s="12" t="n">
        <f aca="false">('Main-Analytics'!K89-AVERAGE('Main-Analytics'!$C$89:$K$89))/STDEVP('Main-Analytics'!$C$89:$K$89)</f>
        <v>-0.0860995192733996</v>
      </c>
    </row>
    <row r="51" customFormat="false" ht="15" hidden="false" customHeight="false" outlineLevel="0" collapsed="false">
      <c r="A51" s="0" t="s">
        <v>401</v>
      </c>
      <c r="B51" s="0" t="s">
        <v>402</v>
      </c>
      <c r="C51" s="12" t="n">
        <f aca="false">('Main-Analytics'!C90-AVERAGE('Main-Analytics'!$C$90:$K$90))/STDEVP('Main-Analytics'!$C$90:$K$90)</f>
        <v>-0.566217321731046</v>
      </c>
      <c r="D51" s="12" t="n">
        <f aca="false">('Main-Analytics'!D90-AVERAGE('Main-Analytics'!$C$90:$K$90))/STDEVP('Main-Analytics'!$C$90:$K$90)</f>
        <v>1.00009965575583</v>
      </c>
      <c r="E51" s="12" t="n">
        <f aca="false">('Main-Analytics'!E90-AVERAGE('Main-Analytics'!$C$90:$K$90))/STDEVP('Main-Analytics'!$C$90:$K$90)</f>
        <v>-0.866879722336483</v>
      </c>
      <c r="F51" s="12" t="n">
        <f aca="false">('Main-Analytics'!F90-AVERAGE('Main-Analytics'!$C$90:$K$90))/STDEVP('Main-Analytics'!$C$90:$K$90)</f>
        <v>0.103566070161802</v>
      </c>
      <c r="G51" s="12" t="n">
        <f aca="false">('Main-Analytics'!G90-AVERAGE('Main-Analytics'!$C$90:$K$90))/STDEVP('Main-Analytics'!$C$90:$K$90)</f>
        <v>0.234702757464735</v>
      </c>
      <c r="H51" s="12" t="n">
        <f aca="false">('Main-Analytics'!H90-AVERAGE('Main-Analytics'!$C$90:$K$90))/STDEVP('Main-Analytics'!$C$90:$K$90)</f>
        <v>1.83016068862916</v>
      </c>
      <c r="I51" s="12" t="n">
        <f aca="false">('Main-Analytics'!I90-AVERAGE('Main-Analytics'!$C$90:$K$90))/STDEVP('Main-Analytics'!$C$90:$K$90)</f>
        <v>-1.8605135164063</v>
      </c>
      <c r="J51" s="12" t="n">
        <f aca="false">('Main-Analytics'!J90-AVERAGE('Main-Analytics'!$C$90:$K$90))/STDEVP('Main-Analytics'!$C$90:$K$90)</f>
        <v>0.20931515910221</v>
      </c>
      <c r="K51" s="12" t="n">
        <f aca="false">('Main-Analytics'!K90-AVERAGE('Main-Analytics'!$C$90:$K$90))/STDEVP('Main-Analytics'!$C$90:$K$90)</f>
        <v>-0.0842337706399161</v>
      </c>
    </row>
    <row r="52" customFormat="false" ht="15" hidden="false" customHeight="false" outlineLevel="0" collapsed="false">
      <c r="A52" s="0" t="s">
        <v>421</v>
      </c>
      <c r="B52" s="0" t="s">
        <v>422</v>
      </c>
      <c r="C52" s="12" t="n">
        <f aca="false">('Main-Analytics'!C91-AVERAGE('Main-Analytics'!$C$91:$K$91))/STDEVP('Main-Analytics'!$C$91:$K$91)</f>
        <v>1.13682046318226</v>
      </c>
      <c r="D52" s="12" t="n">
        <f aca="false">('Main-Analytics'!D91-AVERAGE('Main-Analytics'!$C$91:$K$91))/STDEVP('Main-Analytics'!$C$91:$K$91)</f>
        <v>-0.707270273732704</v>
      </c>
      <c r="E52" s="12" t="n">
        <f aca="false">('Main-Analytics'!E91-AVERAGE('Main-Analytics'!$C$91:$K$91))/STDEVP('Main-Analytics'!$C$91:$K$91)</f>
        <v>-0.936895966623644</v>
      </c>
      <c r="F52" s="12" t="n">
        <f aca="false">('Main-Analytics'!F91-AVERAGE('Main-Analytics'!$C$91:$K$91))/STDEVP('Main-Analytics'!$C$91:$K$91)</f>
        <v>-1.665758352727</v>
      </c>
      <c r="G52" s="12" t="n">
        <f aca="false">('Main-Analytics'!G91-AVERAGE('Main-Analytics'!$C$91:$K$91))/STDEVP('Main-Analytics'!$C$91:$K$91)</f>
        <v>0.963185865105584</v>
      </c>
      <c r="H52" s="12" t="n">
        <f aca="false">('Main-Analytics'!H91-AVERAGE('Main-Analytics'!$C$91:$K$91))/STDEVP('Main-Analytics'!$C$91:$K$91)</f>
        <v>1.42437438010422</v>
      </c>
      <c r="I52" s="12" t="n">
        <f aca="false">('Main-Analytics'!I91-AVERAGE('Main-Analytics'!$C$91:$K$91))/STDEVP('Main-Analytics'!$C$91:$K$91)</f>
        <v>0.536363409775978</v>
      </c>
      <c r="J52" s="12" t="n">
        <f aca="false">('Main-Analytics'!J91-AVERAGE('Main-Analytics'!$C$91:$K$91))/STDEVP('Main-Analytics'!$C$91:$K$91)</f>
        <v>-0.495332612786851</v>
      </c>
      <c r="K52" s="12" t="n">
        <f aca="false">('Main-Analytics'!K91-AVERAGE('Main-Analytics'!$C$91:$K$91))/STDEVP('Main-Analytics'!$C$91:$K$91)</f>
        <v>-0.255486912297843</v>
      </c>
    </row>
    <row r="53" customFormat="false" ht="15" hidden="false" customHeight="false" outlineLevel="0" collapsed="false">
      <c r="A53" s="0" t="s">
        <v>441</v>
      </c>
      <c r="B53" s="0" t="s">
        <v>442</v>
      </c>
      <c r="C53" s="12" t="n">
        <f aca="false">('Main-Analytics'!C92-AVERAGE('Main-Analytics'!$C$92:$K$92))/STDEVP('Main-Analytics'!$C$92:$K$92)</f>
        <v>-0.897565693304492</v>
      </c>
      <c r="D53" s="12" t="n">
        <f aca="false">('Main-Analytics'!D92-AVERAGE('Main-Analytics'!$C$92:$K$92))/STDEVP('Main-Analytics'!$C$92:$K$92)</f>
        <v>0.761326978686675</v>
      </c>
      <c r="E53" s="12" t="n">
        <f aca="false">('Main-Analytics'!E92-AVERAGE('Main-Analytics'!$C$92:$K$92))/STDEVP('Main-Analytics'!$C$92:$K$92)</f>
        <v>-0.128235115781944</v>
      </c>
      <c r="F53" s="12" t="n">
        <f aca="false">('Main-Analytics'!F92-AVERAGE('Main-Analytics'!$C$92:$K$92))/STDEVP('Main-Analytics'!$C$92:$K$92)</f>
        <v>-1.10656828683125</v>
      </c>
      <c r="G53" s="12" t="n">
        <f aca="false">('Main-Analytics'!G92-AVERAGE('Main-Analytics'!$C$92:$K$92))/STDEVP('Main-Analytics'!$C$92:$K$92)</f>
        <v>0.704297818701985</v>
      </c>
      <c r="H53" s="12" t="n">
        <f aca="false">('Main-Analytics'!H92-AVERAGE('Main-Analytics'!$C$92:$K$92))/STDEVP('Main-Analytics'!$C$92:$K$92)</f>
        <v>1.80553801440861</v>
      </c>
      <c r="I53" s="12" t="n">
        <f aca="false">('Main-Analytics'!I92-AVERAGE('Main-Analytics'!$C$92:$K$92))/STDEVP('Main-Analytics'!$C$92:$K$92)</f>
        <v>-1.58643363741215</v>
      </c>
      <c r="J53" s="12" t="n">
        <f aca="false">('Main-Analytics'!J92-AVERAGE('Main-Analytics'!$C$92:$K$92))/STDEVP('Main-Analytics'!$C$92:$K$92)</f>
        <v>0.244484724203569</v>
      </c>
      <c r="K53" s="12" t="n">
        <f aca="false">('Main-Analytics'!K92-AVERAGE('Main-Analytics'!$C$92:$K$92))/STDEVP('Main-Analytics'!$C$92:$K$92)</f>
        <v>0.203155197329008</v>
      </c>
    </row>
    <row r="54" customFormat="false" ht="15" hidden="false" customHeight="false" outlineLevel="0" collapsed="false">
      <c r="A54" s="0" t="s">
        <v>459</v>
      </c>
      <c r="B54" s="0" t="s">
        <v>460</v>
      </c>
      <c r="C54" s="12" t="n">
        <f aca="false">('Main-Analytics'!C93-AVERAGE('Main-Analytics'!$C$93:$K$93))/STDEVP('Main-Analytics'!$C$93:$K$93)</f>
        <v>2.02031405246511</v>
      </c>
      <c r="D54" s="12" t="n">
        <f aca="false">('Main-Analytics'!D93-AVERAGE('Main-Analytics'!$C$93:$K$93))/STDEVP('Main-Analytics'!$C$93:$K$93)</f>
        <v>-1.32282462620921</v>
      </c>
      <c r="E54" s="12" t="n">
        <f aca="false">('Main-Analytics'!E93-AVERAGE('Main-Analytics'!$C$93:$K$93))/STDEVP('Main-Analytics'!$C$93:$K$93)</f>
        <v>-0.562599700140244</v>
      </c>
      <c r="F54" s="12" t="n">
        <f aca="false">('Main-Analytics'!F93-AVERAGE('Main-Analytics'!$C$93:$K$93))/STDEVP('Main-Analytics'!$C$93:$K$93)</f>
        <v>-0.283054275247058</v>
      </c>
      <c r="G54" s="12" t="n">
        <f aca="false">('Main-Analytics'!G93-AVERAGE('Main-Analytics'!$C$93:$K$93))/STDEVP('Main-Analytics'!$C$93:$K$93)</f>
        <v>-0.532514941524276</v>
      </c>
      <c r="H54" s="12" t="n">
        <f aca="false">('Main-Analytics'!H93-AVERAGE('Main-Analytics'!$C$93:$K$93))/STDEVP('Main-Analytics'!$C$93:$K$93)</f>
        <v>-0.203742808827345</v>
      </c>
      <c r="I54" s="12" t="n">
        <f aca="false">('Main-Analytics'!I93-AVERAGE('Main-Analytics'!$C$93:$K$93))/STDEVP('Main-Analytics'!$C$93:$K$93)</f>
        <v>-0.35900234499883</v>
      </c>
      <c r="J54" s="12" t="n">
        <f aca="false">('Main-Analytics'!J93-AVERAGE('Main-Analytics'!$C$93:$K$93))/STDEVP('Main-Analytics'!$C$93:$K$93)</f>
        <v>-0.257153307508701</v>
      </c>
      <c r="K54" s="12" t="n">
        <f aca="false">('Main-Analytics'!K93-AVERAGE('Main-Analytics'!$C$93:$K$93))/STDEVP('Main-Analytics'!$C$93:$K$93)</f>
        <v>1.50057795199055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12" min="3" style="0" width="14"/>
  </cols>
  <sheetData>
    <row r="1" customFormat="false" ht="16.15" hidden="false" customHeight="false" outlineLevel="0" collapsed="false">
      <c r="A1" s="2" t="s">
        <v>506</v>
      </c>
    </row>
    <row r="2" customFormat="false" ht="15" hidden="false" customHeight="false" outlineLevel="0" collapsed="false">
      <c r="A2" s="0" t="s">
        <v>507</v>
      </c>
    </row>
    <row r="4" customFormat="false" ht="16.15" hidden="false" customHeight="false" outlineLevel="0" collapsed="false">
      <c r="A4" s="2" t="s">
        <v>508</v>
      </c>
    </row>
    <row r="5" customFormat="false" ht="15" hidden="false" customHeight="false" outlineLevel="0" collapsed="false">
      <c r="A5" s="3" t="s">
        <v>311</v>
      </c>
      <c r="B5" s="3" t="s">
        <v>313</v>
      </c>
      <c r="C5" s="7" t="n">
        <v>2016</v>
      </c>
      <c r="D5" s="7" t="n">
        <v>2017</v>
      </c>
      <c r="E5" s="7" t="n">
        <v>2018</v>
      </c>
      <c r="F5" s="7" t="n">
        <v>2019</v>
      </c>
      <c r="G5" s="7" t="n">
        <v>2020</v>
      </c>
      <c r="H5" s="7" t="n">
        <v>2021</v>
      </c>
      <c r="I5" s="7" t="n">
        <v>2022</v>
      </c>
      <c r="J5" s="7" t="n">
        <v>2023</v>
      </c>
      <c r="K5" s="7" t="n">
        <v>2024</v>
      </c>
      <c r="L5" s="7" t="n">
        <v>2025</v>
      </c>
    </row>
    <row r="6" customFormat="false" ht="15" hidden="false" customHeight="false" outlineLevel="0" collapsed="false">
      <c r="A6" s="0" t="s">
        <v>315</v>
      </c>
      <c r="B6" s="0" t="s">
        <v>317</v>
      </c>
      <c r="C6" s="8" t="n">
        <f aca="false">'Export-dataset'!B4-'Import-dataset'!B4</f>
        <v>18644</v>
      </c>
      <c r="D6" s="8" t="n">
        <f aca="false">'Export-dataset'!B5-'Import-dataset'!B5</f>
        <v>22292</v>
      </c>
      <c r="E6" s="8" t="n">
        <f aca="false">'Export-dataset'!B6-'Import-dataset'!B6</f>
        <v>20139</v>
      </c>
      <c r="F6" s="8" t="n">
        <f aca="false">'Export-dataset'!B7-'Import-dataset'!B7</f>
        <v>20711</v>
      </c>
      <c r="G6" s="8" t="n">
        <f aca="false">'Export-dataset'!B8-'Import-dataset'!B8</f>
        <v>18021</v>
      </c>
      <c r="H6" s="8" t="n">
        <f aca="false">'Export-dataset'!B9-'Import-dataset'!B9</f>
        <v>27130</v>
      </c>
      <c r="I6" s="8" t="n">
        <f aca="false">'Export-dataset'!B10-'Import-dataset'!B10</f>
        <v>33604</v>
      </c>
      <c r="J6" s="8" t="n">
        <f aca="false">'Export-dataset'!B11-'Import-dataset'!B11</f>
        <v>35065</v>
      </c>
      <c r="K6" s="8" t="n">
        <f aca="false">'Export-dataset'!B12-'Import-dataset'!B12</f>
        <v>30269</v>
      </c>
      <c r="L6" s="8" t="n">
        <f aca="false">'Export-dataset'!B13-'Import-dataset'!B13</f>
        <v>37528</v>
      </c>
    </row>
    <row r="7" customFormat="false" ht="15" hidden="false" customHeight="false" outlineLevel="0" collapsed="false">
      <c r="A7" s="0" t="s">
        <v>339</v>
      </c>
      <c r="B7" s="0" t="s">
        <v>340</v>
      </c>
      <c r="C7" s="8" t="n">
        <f aca="false">'Export-dataset'!M4-'Import-dataset'!M4</f>
        <v>-592</v>
      </c>
      <c r="D7" s="8" t="n">
        <f aca="false">'Export-dataset'!M5-'Import-dataset'!M5</f>
        <v>-254</v>
      </c>
      <c r="E7" s="8" t="n">
        <f aca="false">'Export-dataset'!M6-'Import-dataset'!M6</f>
        <v>-164</v>
      </c>
      <c r="F7" s="8" t="n">
        <f aca="false">'Export-dataset'!M7-'Import-dataset'!M7</f>
        <v>-216</v>
      </c>
      <c r="G7" s="8" t="n">
        <f aca="false">'Export-dataset'!M8-'Import-dataset'!M8</f>
        <v>-192</v>
      </c>
      <c r="H7" s="8" t="n">
        <f aca="false">'Export-dataset'!M9-'Import-dataset'!M9</f>
        <v>-926</v>
      </c>
      <c r="I7" s="8" t="n">
        <f aca="false">'Export-dataset'!M10-'Import-dataset'!M10</f>
        <v>-1278</v>
      </c>
      <c r="J7" s="8" t="n">
        <f aca="false">'Export-dataset'!M11-'Import-dataset'!M11</f>
        <v>-970</v>
      </c>
      <c r="K7" s="8" t="n">
        <f aca="false">'Export-dataset'!M12-'Import-dataset'!M12</f>
        <v>-170</v>
      </c>
      <c r="L7" s="8" t="n">
        <f aca="false">'Export-dataset'!M13-'Import-dataset'!M13</f>
        <v>-312</v>
      </c>
    </row>
    <row r="8" customFormat="false" ht="15" hidden="false" customHeight="false" outlineLevel="0" collapsed="false">
      <c r="A8" s="0" t="s">
        <v>345</v>
      </c>
      <c r="B8" s="0" t="s">
        <v>346</v>
      </c>
      <c r="C8" s="8" t="n">
        <f aca="false">'Export-dataset'!P4-'Import-dataset'!P4</f>
        <v>80415</v>
      </c>
      <c r="D8" s="8" t="n">
        <f aca="false">'Export-dataset'!P5-'Import-dataset'!P5</f>
        <v>95929</v>
      </c>
      <c r="E8" s="8" t="n">
        <f aca="false">'Export-dataset'!P6-'Import-dataset'!P6</f>
        <v>102894</v>
      </c>
      <c r="F8" s="8" t="n">
        <f aca="false">'Export-dataset'!P7-'Import-dataset'!P7</f>
        <v>133277</v>
      </c>
      <c r="G8" s="8" t="n">
        <f aca="false">'Export-dataset'!P8-'Import-dataset'!P8</f>
        <v>148711</v>
      </c>
      <c r="H8" s="8" t="n">
        <f aca="false">'Export-dataset'!P9-'Import-dataset'!P9</f>
        <v>193932</v>
      </c>
      <c r="I8" s="8" t="n">
        <f aca="false">'Export-dataset'!P10-'Import-dataset'!P10</f>
        <v>183643</v>
      </c>
      <c r="J8" s="8" t="n">
        <f aca="false">'Export-dataset'!P11-'Import-dataset'!P11</f>
        <v>199030</v>
      </c>
      <c r="K8" s="8" t="n">
        <f aca="false">'Export-dataset'!P12-'Import-dataset'!P12</f>
        <v>175469</v>
      </c>
      <c r="L8" s="8" t="n">
        <f aca="false">'Export-dataset'!P13-'Import-dataset'!P13</f>
        <v>175366</v>
      </c>
    </row>
    <row r="9" customFormat="false" ht="15" hidden="false" customHeight="false" outlineLevel="0" collapsed="false">
      <c r="A9" s="0" t="s">
        <v>365</v>
      </c>
      <c r="B9" s="0" t="s">
        <v>366</v>
      </c>
      <c r="C9" s="8" t="n">
        <f aca="false">'Export-dataset'!Z4-'Import-dataset'!Z4</f>
        <v>44098</v>
      </c>
      <c r="D9" s="8" t="n">
        <f aca="false">'Export-dataset'!Z5-'Import-dataset'!Z5</f>
        <v>61344</v>
      </c>
      <c r="E9" s="8" t="n">
        <f aca="false">'Export-dataset'!Z6-'Import-dataset'!Z6</f>
        <v>81757</v>
      </c>
      <c r="F9" s="8" t="n">
        <f aca="false">'Export-dataset'!Z7-'Import-dataset'!Z7</f>
        <v>87494</v>
      </c>
      <c r="G9" s="8" t="n">
        <f aca="false">'Export-dataset'!Z8-'Import-dataset'!Z8</f>
        <v>65713</v>
      </c>
      <c r="H9" s="8" t="n">
        <f aca="false">'Export-dataset'!Z9-'Import-dataset'!Z9</f>
        <v>91843</v>
      </c>
      <c r="I9" s="8" t="n">
        <f aca="false">'Export-dataset'!Z10-'Import-dataset'!Z10</f>
        <v>185528</v>
      </c>
      <c r="J9" s="8" t="n">
        <f aca="false">'Export-dataset'!Z11-'Import-dataset'!Z11</f>
        <v>134898</v>
      </c>
      <c r="K9" s="8" t="n">
        <f aca="false">'Export-dataset'!Z12-'Import-dataset'!Z12</f>
        <v>114093</v>
      </c>
      <c r="L9" s="8" t="n">
        <f aca="false">'Export-dataset'!Z13-'Import-dataset'!Z13</f>
        <v>86923</v>
      </c>
    </row>
    <row r="10" customFormat="false" ht="15" hidden="false" customHeight="false" outlineLevel="0" collapsed="false">
      <c r="A10" s="0" t="s">
        <v>373</v>
      </c>
      <c r="B10" s="0" t="s">
        <v>374</v>
      </c>
      <c r="C10" s="8" t="n">
        <f aca="false">'Export-dataset'!AD4-'Import-dataset'!AD4</f>
        <v>-25</v>
      </c>
      <c r="D10" s="8" t="n">
        <f aca="false">'Export-dataset'!AD5-'Import-dataset'!AD5</f>
        <v>-22</v>
      </c>
      <c r="E10" s="8" t="n">
        <f aca="false">'Export-dataset'!AD6-'Import-dataset'!AD6</f>
        <v>-93</v>
      </c>
      <c r="F10" s="8" t="n">
        <f aca="false">'Export-dataset'!AD7-'Import-dataset'!AD7</f>
        <v>-78</v>
      </c>
      <c r="G10" s="8" t="n">
        <f aca="false">'Export-dataset'!AD8-'Import-dataset'!AD8</f>
        <v>-5</v>
      </c>
      <c r="H10" s="8" t="n">
        <f aca="false">'Export-dataset'!AD9-'Import-dataset'!AD9</f>
        <v>254</v>
      </c>
      <c r="I10" s="8" t="n">
        <f aca="false">'Export-dataset'!AD10-'Import-dataset'!AD10</f>
        <v>588</v>
      </c>
      <c r="J10" s="8" t="n">
        <f aca="false">'Export-dataset'!AD11-'Import-dataset'!AD11</f>
        <v>621</v>
      </c>
      <c r="K10" s="8" t="n">
        <f aca="false">'Export-dataset'!AD12-'Import-dataset'!AD12</f>
        <v>140</v>
      </c>
      <c r="L10" s="8" t="n">
        <f aca="false">'Export-dataset'!AD13-'Import-dataset'!AD13</f>
        <v>524</v>
      </c>
    </row>
    <row r="11" customFormat="false" ht="15" hidden="false" customHeight="false" outlineLevel="0" collapsed="false">
      <c r="A11" s="0" t="s">
        <v>381</v>
      </c>
      <c r="B11" s="0" t="s">
        <v>382</v>
      </c>
      <c r="C11" s="8" t="n">
        <f aca="false">'Export-dataset'!AH4-'Import-dataset'!AH4</f>
        <v>-19338</v>
      </c>
      <c r="D11" s="8" t="n">
        <f aca="false">'Export-dataset'!AH5-'Import-dataset'!AH5</f>
        <v>-19411</v>
      </c>
      <c r="E11" s="8" t="n">
        <f aca="false">'Export-dataset'!AH6-'Import-dataset'!AH6</f>
        <v>-19327</v>
      </c>
      <c r="F11" s="8" t="n">
        <f aca="false">'Export-dataset'!AH7-'Import-dataset'!AH7</f>
        <v>-19053</v>
      </c>
      <c r="G11" s="8" t="n">
        <f aca="false">'Export-dataset'!AH8-'Import-dataset'!AH8</f>
        <v>-22199</v>
      </c>
      <c r="H11" s="8" t="n">
        <f aca="false">'Export-dataset'!AH9-'Import-dataset'!AH9</f>
        <v>-26969</v>
      </c>
      <c r="I11" s="8" t="n">
        <f aca="false">'Export-dataset'!AH10-'Import-dataset'!AH10</f>
        <v>-38818</v>
      </c>
      <c r="J11" s="8" t="n">
        <f aca="false">'Export-dataset'!AH11-'Import-dataset'!AH11</f>
        <v>-31347</v>
      </c>
      <c r="K11" s="8" t="n">
        <f aca="false">'Export-dataset'!AH12-'Import-dataset'!AH12</f>
        <v>-32760</v>
      </c>
      <c r="L11" s="8" t="n">
        <f aca="false">'Export-dataset'!AH13-'Import-dataset'!AH13</f>
        <v>-35534</v>
      </c>
    </row>
    <row r="12" customFormat="false" ht="15" hidden="false" customHeight="false" outlineLevel="0" collapsed="false">
      <c r="A12" s="0" t="s">
        <v>401</v>
      </c>
      <c r="B12" s="0" t="s">
        <v>402</v>
      </c>
      <c r="C12" s="8" t="n">
        <f aca="false">'Export-dataset'!AR4-'Import-dataset'!AR4</f>
        <v>-14817</v>
      </c>
      <c r="D12" s="8" t="n">
        <f aca="false">'Export-dataset'!AR5-'Import-dataset'!AR5</f>
        <v>-13952</v>
      </c>
      <c r="E12" s="8" t="n">
        <f aca="false">'Export-dataset'!AR6-'Import-dataset'!AR6</f>
        <v>-15412</v>
      </c>
      <c r="F12" s="8" t="n">
        <f aca="false">'Export-dataset'!AR7-'Import-dataset'!AR7</f>
        <v>-14719</v>
      </c>
      <c r="G12" s="8" t="n">
        <f aca="false">'Export-dataset'!AR8-'Import-dataset'!AR8</f>
        <v>-19691</v>
      </c>
      <c r="H12" s="8" t="n">
        <f aca="false">'Export-dataset'!AR9-'Import-dataset'!AR9</f>
        <v>-20274</v>
      </c>
      <c r="I12" s="8" t="n">
        <f aca="false">'Export-dataset'!AR10-'Import-dataset'!AR10</f>
        <v>-24590</v>
      </c>
      <c r="J12" s="8" t="n">
        <f aca="false">'Export-dataset'!AR11-'Import-dataset'!AR11</f>
        <v>-21283</v>
      </c>
      <c r="K12" s="8" t="n">
        <f aca="false">'Export-dataset'!AR12-'Import-dataset'!AR12</f>
        <v>-23096</v>
      </c>
      <c r="L12" s="8" t="n">
        <f aca="false">'Export-dataset'!AR13-'Import-dataset'!AR13</f>
        <v>-23153</v>
      </c>
    </row>
    <row r="13" customFormat="false" ht="15" hidden="false" customHeight="false" outlineLevel="0" collapsed="false">
      <c r="A13" s="0" t="s">
        <v>421</v>
      </c>
      <c r="B13" s="0" t="s">
        <v>422</v>
      </c>
      <c r="C13" s="8" t="n">
        <f aca="false">'Export-dataset'!BB4-'Import-dataset'!BB4</f>
        <v>-87945</v>
      </c>
      <c r="D13" s="8" t="n">
        <f aca="false">'Export-dataset'!BB5-'Import-dataset'!BB5</f>
        <v>-103295</v>
      </c>
      <c r="E13" s="8" t="n">
        <f aca="false">'Export-dataset'!BB6-'Import-dataset'!BB6</f>
        <v>-106052</v>
      </c>
      <c r="F13" s="8" t="n">
        <f aca="false">'Export-dataset'!BB7-'Import-dataset'!BB7</f>
        <v>-106294</v>
      </c>
      <c r="G13" s="8" t="n">
        <f aca="false">'Export-dataset'!BB8-'Import-dataset'!BB8</f>
        <v>-105068</v>
      </c>
      <c r="H13" s="8" t="n">
        <f aca="false">'Export-dataset'!BB9-'Import-dataset'!BB9</f>
        <v>-120677</v>
      </c>
      <c r="I13" s="8" t="n">
        <f aca="false">'Export-dataset'!BB10-'Import-dataset'!BB10</f>
        <v>-140384</v>
      </c>
      <c r="J13" s="8" t="n">
        <f aca="false">'Export-dataset'!BB11-'Import-dataset'!BB11</f>
        <v>-154751</v>
      </c>
      <c r="K13" s="8" t="n">
        <f aca="false">'Export-dataset'!BB12-'Import-dataset'!BB12</f>
        <v>-160202</v>
      </c>
      <c r="L13" s="8" t="n">
        <f aca="false">'Export-dataset'!BB13-'Import-dataset'!BB13</f>
        <v>-168746</v>
      </c>
    </row>
    <row r="14" customFormat="false" ht="15" hidden="false" customHeight="false" outlineLevel="0" collapsed="false">
      <c r="A14" s="0" t="s">
        <v>441</v>
      </c>
      <c r="B14" s="0" t="s">
        <v>442</v>
      </c>
      <c r="C14" s="8" t="n">
        <f aca="false">'Export-dataset'!BL4-'Import-dataset'!BL4</f>
        <v>-33807</v>
      </c>
      <c r="D14" s="8" t="n">
        <f aca="false">'Export-dataset'!BL5-'Import-dataset'!BL5</f>
        <v>-33714</v>
      </c>
      <c r="E14" s="8" t="n">
        <f aca="false">'Export-dataset'!BL6-'Import-dataset'!BL6</f>
        <v>-37011</v>
      </c>
      <c r="F14" s="8" t="n">
        <f aca="false">'Export-dataset'!BL7-'Import-dataset'!BL7</f>
        <v>-38100</v>
      </c>
      <c r="G14" s="8" t="n">
        <f aca="false">'Export-dataset'!BL8-'Import-dataset'!BL8</f>
        <v>-38662</v>
      </c>
      <c r="H14" s="8" t="n">
        <f aca="false">'Export-dataset'!BL9-'Import-dataset'!BL9</f>
        <v>-42095</v>
      </c>
      <c r="I14" s="8" t="n">
        <f aca="false">'Export-dataset'!BL10-'Import-dataset'!BL10</f>
        <v>-48399</v>
      </c>
      <c r="J14" s="8" t="n">
        <f aca="false">'Export-dataset'!BL11-'Import-dataset'!BL11</f>
        <v>-45181</v>
      </c>
      <c r="K14" s="8" t="n">
        <f aca="false">'Export-dataset'!BL12-'Import-dataset'!BL12</f>
        <v>-48336</v>
      </c>
      <c r="L14" s="8" t="n">
        <f aca="false">'Export-dataset'!BL13-'Import-dataset'!BL13</f>
        <v>-51165</v>
      </c>
    </row>
    <row r="15" customFormat="false" ht="15" hidden="false" customHeight="false" outlineLevel="0" collapsed="false">
      <c r="A15" s="0" t="s">
        <v>459</v>
      </c>
      <c r="B15" s="0" t="s">
        <v>460</v>
      </c>
      <c r="C15" s="8" t="n">
        <f aca="false">'Export-dataset'!BU4-'Import-dataset'!BU4</f>
        <v>17490</v>
      </c>
      <c r="D15" s="8" t="n">
        <f aca="false">'Export-dataset'!BU5-'Import-dataset'!BU5</f>
        <v>4126</v>
      </c>
      <c r="E15" s="8" t="n">
        <f aca="false">'Export-dataset'!BU6-'Import-dataset'!BU6</f>
        <v>13835</v>
      </c>
      <c r="F15" s="8" t="n">
        <f aca="false">'Export-dataset'!BU7-'Import-dataset'!BU7</f>
        <v>19410</v>
      </c>
      <c r="G15" s="8" t="n">
        <f aca="false">'Export-dataset'!BU8-'Import-dataset'!BU8</f>
        <v>22494</v>
      </c>
      <c r="H15" s="8" t="n">
        <f aca="false">'Export-dataset'!BU9-'Import-dataset'!BU9</f>
        <v>25722</v>
      </c>
      <c r="I15" s="8" t="n">
        <f aca="false">'Export-dataset'!BU10-'Import-dataset'!BU10</f>
        <v>26963</v>
      </c>
      <c r="J15" s="8" t="n">
        <f aca="false">'Export-dataset'!BU11-'Import-dataset'!BU11</f>
        <v>28672</v>
      </c>
      <c r="K15" s="8" t="n">
        <f aca="false">'Export-dataset'!BU12-'Import-dataset'!BU12</f>
        <v>31699</v>
      </c>
      <c r="L15" s="8" t="n">
        <f aca="false">'Export-dataset'!BU13-'Import-dataset'!BU13</f>
        <v>40792</v>
      </c>
    </row>
    <row r="16" customFormat="false" ht="15" hidden="false" customHeight="false" outlineLevel="0" collapsed="false">
      <c r="A16" s="0" t="s">
        <v>471</v>
      </c>
      <c r="B16" s="0" t="s">
        <v>509</v>
      </c>
      <c r="C16" s="8" t="n">
        <f aca="false">'Export-dataset'!CA4-'Import-dataset'!CA4</f>
        <v>4124</v>
      </c>
      <c r="D16" s="8" t="n">
        <f aca="false">'Export-dataset'!CA5-'Import-dataset'!CA5</f>
        <v>13043</v>
      </c>
      <c r="E16" s="8" t="n">
        <f aca="false">'Export-dataset'!CA6-'Import-dataset'!CA6</f>
        <v>40565</v>
      </c>
      <c r="F16" s="8" t="n">
        <f aca="false">'Export-dataset'!CA7-'Import-dataset'!CA7</f>
        <v>82432</v>
      </c>
      <c r="G16" s="8" t="n">
        <f aca="false">'Export-dataset'!CA8-'Import-dataset'!CA8</f>
        <v>69125</v>
      </c>
      <c r="H16" s="8" t="n">
        <f aca="false">'Export-dataset'!CA9-'Import-dataset'!CA9</f>
        <v>127934</v>
      </c>
      <c r="I16" s="8" t="n">
        <f aca="false">'Export-dataset'!CA10-'Import-dataset'!CA10</f>
        <v>176863</v>
      </c>
      <c r="J16" s="8" t="n">
        <f aca="false">'Export-dataset'!CA11-'Import-dataset'!CA11</f>
        <v>144754</v>
      </c>
      <c r="K16" s="8" t="n">
        <f aca="false">'Export-dataset'!CA12-'Import-dataset'!CA12</f>
        <v>87110</v>
      </c>
      <c r="L16" s="8" t="n">
        <f aca="false">'Export-dataset'!CA13-'Import-dataset'!CA13</f>
        <v>62232</v>
      </c>
    </row>
    <row r="18" customFormat="false" ht="16.15" hidden="false" customHeight="false" outlineLevel="0" collapsed="false">
      <c r="A18" s="2" t="s">
        <v>510</v>
      </c>
    </row>
    <row r="19" customFormat="false" ht="15" hidden="false" customHeight="false" outlineLevel="0" collapsed="false">
      <c r="A19" s="3" t="s">
        <v>311</v>
      </c>
      <c r="B19" s="3" t="s">
        <v>313</v>
      </c>
      <c r="C19" s="7" t="n">
        <v>2016</v>
      </c>
      <c r="D19" s="7" t="n">
        <v>2017</v>
      </c>
      <c r="E19" s="7" t="n">
        <v>2018</v>
      </c>
      <c r="F19" s="7" t="n">
        <v>2019</v>
      </c>
      <c r="G19" s="7" t="n">
        <v>2020</v>
      </c>
      <c r="H19" s="7" t="n">
        <v>2021</v>
      </c>
      <c r="I19" s="7" t="n">
        <v>2022</v>
      </c>
      <c r="J19" s="7" t="n">
        <v>2023</v>
      </c>
      <c r="K19" s="7" t="n">
        <v>2024</v>
      </c>
      <c r="L19" s="7" t="n">
        <v>2025</v>
      </c>
    </row>
    <row r="20" customFormat="false" ht="15" hidden="false" customHeight="false" outlineLevel="0" collapsed="false">
      <c r="A20" s="0" t="s">
        <v>315</v>
      </c>
      <c r="B20" s="0" t="s">
        <v>317</v>
      </c>
      <c r="C20" s="12" t="n">
        <f aca="false">IFERROR('Export-dataset'!B4/'Import-dataset'!B4,"")</f>
        <v>2.33390570222508</v>
      </c>
      <c r="D20" s="12" t="n">
        <f aca="false">IFERROR('Export-dataset'!B5/'Import-dataset'!B5,"")</f>
        <v>2.5584451901566</v>
      </c>
      <c r="E20" s="12" t="n">
        <f aca="false">IFERROR('Export-dataset'!B6/'Import-dataset'!B6,"")</f>
        <v>2.33088818398097</v>
      </c>
      <c r="F20" s="12" t="n">
        <f aca="false">IFERROR('Export-dataset'!B7/'Import-dataset'!B7,"")</f>
        <v>2.22275357185028</v>
      </c>
      <c r="G20" s="12" t="n">
        <f aca="false">IFERROR('Export-dataset'!B8/'Import-dataset'!B8,"")</f>
        <v>2.02351337536207</v>
      </c>
      <c r="H20" s="12" t="n">
        <f aca="false">IFERROR('Export-dataset'!B9/'Import-dataset'!B9,"")</f>
        <v>2.65326020719074</v>
      </c>
      <c r="I20" s="12" t="n">
        <f aca="false">IFERROR('Export-dataset'!B10/'Import-dataset'!B10,"")</f>
        <v>2.72169279639307</v>
      </c>
      <c r="J20" s="12" t="n">
        <f aca="false">IFERROR('Export-dataset'!B11/'Import-dataset'!B11,"")</f>
        <v>2.78139605771185</v>
      </c>
      <c r="K20" s="12" t="n">
        <f aca="false">IFERROR('Export-dataset'!B12/'Import-dataset'!B12,"")</f>
        <v>2.35778046920558</v>
      </c>
      <c r="L20" s="12" t="n">
        <f aca="false">IFERROR('Export-dataset'!B13/'Import-dataset'!B13,"")</f>
        <v>2.53081786661228</v>
      </c>
    </row>
    <row r="21" customFormat="false" ht="15" hidden="false" customHeight="false" outlineLevel="0" collapsed="false">
      <c r="A21" s="0" t="s">
        <v>339</v>
      </c>
      <c r="B21" s="0" t="s">
        <v>340</v>
      </c>
      <c r="C21" s="12" t="n">
        <f aca="false">IFERROR('Export-dataset'!M4/'Import-dataset'!M4,"")</f>
        <v>0.819015591562213</v>
      </c>
      <c r="D21" s="12" t="n">
        <f aca="false">IFERROR('Export-dataset'!M5/'Import-dataset'!M5,"")</f>
        <v>0.922678843226788</v>
      </c>
      <c r="E21" s="12" t="n">
        <f aca="false">IFERROR('Export-dataset'!M6/'Import-dataset'!M6,"")</f>
        <v>0.953685399604632</v>
      </c>
      <c r="F21" s="12" t="n">
        <f aca="false">IFERROR('Export-dataset'!M7/'Import-dataset'!M7,"")</f>
        <v>0.943127962085308</v>
      </c>
      <c r="G21" s="12" t="n">
        <f aca="false">IFERROR('Export-dataset'!M8/'Import-dataset'!M8,"")</f>
        <v>0.944748201438849</v>
      </c>
      <c r="H21" s="12" t="n">
        <f aca="false">IFERROR('Export-dataset'!M9/'Import-dataset'!M9,"")</f>
        <v>0.731516381559872</v>
      </c>
      <c r="I21" s="12" t="n">
        <f aca="false">IFERROR('Export-dataset'!M10/'Import-dataset'!M10,"")</f>
        <v>0.668051948051948</v>
      </c>
      <c r="J21" s="12" t="n">
        <f aca="false">IFERROR('Export-dataset'!M11/'Import-dataset'!M11,"")</f>
        <v>0.724275156338829</v>
      </c>
      <c r="K21" s="12" t="n">
        <f aca="false">IFERROR('Export-dataset'!M12/'Import-dataset'!M12,"")</f>
        <v>0.949238578680203</v>
      </c>
      <c r="L21" s="12" t="n">
        <f aca="false">IFERROR('Export-dataset'!M13/'Import-dataset'!M13,"")</f>
        <v>0.907637655417407</v>
      </c>
    </row>
    <row r="22" customFormat="false" ht="15" hidden="false" customHeight="false" outlineLevel="0" collapsed="false">
      <c r="A22" s="0" t="s">
        <v>345</v>
      </c>
      <c r="B22" s="0" t="s">
        <v>346</v>
      </c>
      <c r="C22" s="12" t="n">
        <f aca="false">IFERROR('Export-dataset'!P4/'Import-dataset'!P4,"")</f>
        <v>26.0826575171553</v>
      </c>
      <c r="D22" s="12" t="n">
        <f aca="false">IFERROR('Export-dataset'!P5/'Import-dataset'!P5,"")</f>
        <v>28.0680022573363</v>
      </c>
      <c r="E22" s="12" t="n">
        <f aca="false">IFERROR('Export-dataset'!P6/'Import-dataset'!P6,"")</f>
        <v>26.8203262233375</v>
      </c>
      <c r="F22" s="12" t="n">
        <f aca="false">IFERROR('Export-dataset'!P7/'Import-dataset'!P7,"")</f>
        <v>43.4719566602932</v>
      </c>
      <c r="G22" s="12" t="n">
        <f aca="false">IFERROR('Export-dataset'!P8/'Import-dataset'!P8,"")</f>
        <v>46.6588885477433</v>
      </c>
      <c r="H22" s="12" t="n">
        <f aca="false">IFERROR('Export-dataset'!P9/'Import-dataset'!P9,"")</f>
        <v>46.6632917353426</v>
      </c>
      <c r="I22" s="12" t="n">
        <f aca="false">IFERROR('Export-dataset'!P10/'Import-dataset'!P10,"")</f>
        <v>40.4676552761659</v>
      </c>
      <c r="J22" s="12" t="n">
        <f aca="false">IFERROR('Export-dataset'!P11/'Import-dataset'!P11,"")</f>
        <v>51.6308827270415</v>
      </c>
      <c r="K22" s="12" t="n">
        <f aca="false">IFERROR('Export-dataset'!P12/'Import-dataset'!P12,"")</f>
        <v>43.5999028890507</v>
      </c>
      <c r="L22" s="12" t="n">
        <f aca="false">IFERROR('Export-dataset'!P13/'Import-dataset'!P13,"")</f>
        <v>34.1818353831599</v>
      </c>
    </row>
    <row r="23" customFormat="false" ht="15" hidden="false" customHeight="false" outlineLevel="0" collapsed="false">
      <c r="A23" s="0" t="s">
        <v>365</v>
      </c>
      <c r="B23" s="0" t="s">
        <v>366</v>
      </c>
      <c r="C23" s="12" t="n">
        <f aca="false">IFERROR('Export-dataset'!Z4/'Import-dataset'!Z4,"")</f>
        <v>2.86824267073377</v>
      </c>
      <c r="D23" s="12" t="n">
        <f aca="false">IFERROR('Export-dataset'!Z5/'Import-dataset'!Z5,"")</f>
        <v>3.05817815802718</v>
      </c>
      <c r="E23" s="12" t="n">
        <f aca="false">IFERROR('Export-dataset'!Z6/'Import-dataset'!Z6,"")</f>
        <v>3.01809340442338</v>
      </c>
      <c r="F23" s="12" t="n">
        <f aca="false">IFERROR('Export-dataset'!Z7/'Import-dataset'!Z7,"")</f>
        <v>3.25534876527298</v>
      </c>
      <c r="G23" s="12" t="n">
        <f aca="false">IFERROR('Export-dataset'!Z8/'Import-dataset'!Z8,"")</f>
        <v>3.8437337718539</v>
      </c>
      <c r="H23" s="12" t="n">
        <f aca="false">IFERROR('Export-dataset'!Z9/'Import-dataset'!Z9,"")</f>
        <v>3.65810951609169</v>
      </c>
      <c r="I23" s="12" t="n">
        <f aca="false">IFERROR('Export-dataset'!Z10/'Import-dataset'!Z10,"")</f>
        <v>3.81931738747227</v>
      </c>
      <c r="J23" s="12" t="n">
        <f aca="false">IFERROR('Export-dataset'!Z11/'Import-dataset'!Z11,"")</f>
        <v>3.22416777959143</v>
      </c>
      <c r="K23" s="12" t="n">
        <f aca="false">IFERROR('Export-dataset'!Z12/'Import-dataset'!Z12,"")</f>
        <v>3.01048476625139</v>
      </c>
      <c r="L23" s="12" t="n">
        <f aca="false">IFERROR('Export-dataset'!Z13/'Import-dataset'!Z13,"")</f>
        <v>2.6321116076458</v>
      </c>
    </row>
    <row r="24" customFormat="false" ht="15" hidden="false" customHeight="false" outlineLevel="0" collapsed="false">
      <c r="A24" s="0" t="s">
        <v>373</v>
      </c>
      <c r="B24" s="0" t="s">
        <v>374</v>
      </c>
      <c r="C24" s="12" t="n">
        <f aca="false">IFERROR('Export-dataset'!AD4/'Import-dataset'!AD4,"")</f>
        <v>0.964285714285714</v>
      </c>
      <c r="D24" s="12" t="n">
        <f aca="false">IFERROR('Export-dataset'!AD5/'Import-dataset'!AD5,"")</f>
        <v>0.968660968660969</v>
      </c>
      <c r="E24" s="12" t="n">
        <f aca="false">IFERROR('Export-dataset'!AD6/'Import-dataset'!AD6,"")</f>
        <v>0.876984126984127</v>
      </c>
      <c r="F24" s="12" t="n">
        <f aca="false">IFERROR('Export-dataset'!AD7/'Import-dataset'!AD7,"")</f>
        <v>0.892413793103448</v>
      </c>
      <c r="G24" s="12" t="n">
        <f aca="false">IFERROR('Export-dataset'!AD8/'Import-dataset'!AD8,"")</f>
        <v>0.993472584856397</v>
      </c>
      <c r="H24" s="12" t="n">
        <f aca="false">IFERROR('Export-dataset'!AD9/'Import-dataset'!AD9,"")</f>
        <v>1.30565583634176</v>
      </c>
      <c r="I24" s="12" t="n">
        <f aca="false">IFERROR('Export-dataset'!AD10/'Import-dataset'!AD10,"")</f>
        <v>1.53747714808044</v>
      </c>
      <c r="J24" s="12" t="n">
        <f aca="false">IFERROR('Export-dataset'!AD11/'Import-dataset'!AD11,"")</f>
        <v>1.62854251012146</v>
      </c>
      <c r="K24" s="12" t="n">
        <f aca="false">IFERROR('Export-dataset'!AD12/'Import-dataset'!AD12,"")</f>
        <v>1.11137629276054</v>
      </c>
      <c r="L24" s="12" t="n">
        <f aca="false">IFERROR('Export-dataset'!AD13/'Import-dataset'!AD13,"")</f>
        <v>1.40873634945398</v>
      </c>
    </row>
    <row r="25" customFormat="false" ht="15" hidden="false" customHeight="false" outlineLevel="0" collapsed="false">
      <c r="A25" s="0" t="s">
        <v>381</v>
      </c>
      <c r="B25" s="0" t="s">
        <v>382</v>
      </c>
      <c r="C25" s="12" t="n">
        <f aca="false">IFERROR('Export-dataset'!AH4/'Import-dataset'!AH4,"")</f>
        <v>0.302003248511099</v>
      </c>
      <c r="D25" s="12" t="n">
        <f aca="false">IFERROR('Export-dataset'!AH5/'Import-dataset'!AH5,"")</f>
        <v>0.308084408640479</v>
      </c>
      <c r="E25" s="12" t="n">
        <f aca="false">IFERROR('Export-dataset'!AH6/'Import-dataset'!AH6,"")</f>
        <v>0.352247209840131</v>
      </c>
      <c r="F25" s="12" t="n">
        <f aca="false">IFERROR('Export-dataset'!AH7/'Import-dataset'!AH7,"")</f>
        <v>0.385862558019598</v>
      </c>
      <c r="G25" s="12" t="n">
        <f aca="false">IFERROR('Export-dataset'!AH8/'Import-dataset'!AH8,"")</f>
        <v>0.333183142591091</v>
      </c>
      <c r="H25" s="12" t="n">
        <f aca="false">IFERROR('Export-dataset'!AH9/'Import-dataset'!AH9,"")</f>
        <v>0.271521568839307</v>
      </c>
      <c r="I25" s="12" t="n">
        <f aca="false">IFERROR('Export-dataset'!AH10/'Import-dataset'!AH10,"")</f>
        <v>0.244683128052459</v>
      </c>
      <c r="J25" s="12" t="n">
        <f aca="false">IFERROR('Export-dataset'!AH11/'Import-dataset'!AH11,"")</f>
        <v>0.268123555368775</v>
      </c>
      <c r="K25" s="12" t="n">
        <f aca="false">IFERROR('Export-dataset'!AH12/'Import-dataset'!AH12,"")</f>
        <v>0.272517321016166</v>
      </c>
      <c r="L25" s="12" t="n">
        <f aca="false">IFERROR('Export-dataset'!AH13/'Import-dataset'!AH13,"")</f>
        <v>0.25466177241741</v>
      </c>
    </row>
    <row r="26" customFormat="false" ht="15" hidden="false" customHeight="false" outlineLevel="0" collapsed="false">
      <c r="A26" s="0" t="s">
        <v>401</v>
      </c>
      <c r="B26" s="0" t="s">
        <v>402</v>
      </c>
      <c r="C26" s="12" t="n">
        <f aca="false">IFERROR('Export-dataset'!AR4/'Import-dataset'!AR4,"")</f>
        <v>0.475002657407079</v>
      </c>
      <c r="D26" s="12" t="n">
        <f aca="false">IFERROR('Export-dataset'!AR5/'Import-dataset'!AR5,"")</f>
        <v>0.513884533639943</v>
      </c>
      <c r="E26" s="12" t="n">
        <f aca="false">IFERROR('Export-dataset'!AR6/'Import-dataset'!AR6,"")</f>
        <v>0.524951453318127</v>
      </c>
      <c r="F26" s="12" t="n">
        <f aca="false">IFERROR('Export-dataset'!AR7/'Import-dataset'!AR7,"")</f>
        <v>0.544105804373413</v>
      </c>
      <c r="G26" s="12" t="n">
        <f aca="false">IFERROR('Export-dataset'!AR8/'Import-dataset'!AR8,"")</f>
        <v>0.427570568911887</v>
      </c>
      <c r="H26" s="12" t="n">
        <f aca="false">IFERROR('Export-dataset'!AR9/'Import-dataset'!AR9,"")</f>
        <v>0.451713227141196</v>
      </c>
      <c r="I26" s="12" t="n">
        <f aca="false">IFERROR('Export-dataset'!AR10/'Import-dataset'!AR10,"")</f>
        <v>0.441402966765862</v>
      </c>
      <c r="J26" s="12" t="n">
        <f aca="false">IFERROR('Export-dataset'!AR11/'Import-dataset'!AR11,"")</f>
        <v>0.476304133858268</v>
      </c>
      <c r="K26" s="12" t="n">
        <f aca="false">IFERROR('Export-dataset'!AR12/'Import-dataset'!AR12,"")</f>
        <v>0.470408841805966</v>
      </c>
      <c r="L26" s="12" t="n">
        <f aca="false">IFERROR('Export-dataset'!AR13/'Import-dataset'!AR13,"")</f>
        <v>0.495269445413324</v>
      </c>
    </row>
    <row r="27" customFormat="false" ht="15" hidden="false" customHeight="false" outlineLevel="0" collapsed="false">
      <c r="A27" s="0" t="s">
        <v>421</v>
      </c>
      <c r="B27" s="0" t="s">
        <v>422</v>
      </c>
      <c r="C27" s="12" t="n">
        <f aca="false">IFERROR('Export-dataset'!BB4/'Import-dataset'!BB4,"")</f>
        <v>0.148908373011265</v>
      </c>
      <c r="D27" s="12" t="n">
        <f aca="false">IFERROR('Export-dataset'!BB5/'Import-dataset'!BB5,"")</f>
        <v>0.124121323124147</v>
      </c>
      <c r="E27" s="12" t="n">
        <f aca="false">IFERROR('Export-dataset'!BB6/'Import-dataset'!BB6,"")</f>
        <v>0.126453823597246</v>
      </c>
      <c r="F27" s="12" t="n">
        <f aca="false">IFERROR('Export-dataset'!BB7/'Import-dataset'!BB7,"")</f>
        <v>0.137825868306215</v>
      </c>
      <c r="G27" s="12" t="n">
        <f aca="false">IFERROR('Export-dataset'!BB8/'Import-dataset'!BB8,"")</f>
        <v>0.122576119452842</v>
      </c>
      <c r="H27" s="12" t="n">
        <f aca="false">IFERROR('Export-dataset'!BB9/'Import-dataset'!BB9,"")</f>
        <v>0.108769986337284</v>
      </c>
      <c r="I27" s="12" t="n">
        <f aca="false">IFERROR('Export-dataset'!BB10/'Import-dataset'!BB10,"")</f>
        <v>0.105264499681326</v>
      </c>
      <c r="J27" s="12" t="n">
        <f aca="false">IFERROR('Export-dataset'!BB11/'Import-dataset'!BB11,"")</f>
        <v>0.107317354561449</v>
      </c>
      <c r="K27" s="12" t="n">
        <f aca="false">IFERROR('Export-dataset'!BB12/'Import-dataset'!BB12,"")</f>
        <v>0.11336794217593</v>
      </c>
      <c r="L27" s="12" t="n">
        <f aca="false">IFERROR('Export-dataset'!BB13/'Import-dataset'!BB13,"")</f>
        <v>0.116309516328369</v>
      </c>
    </row>
    <row r="28" customFormat="false" ht="15" hidden="false" customHeight="false" outlineLevel="0" collapsed="false">
      <c r="A28" s="0" t="s">
        <v>441</v>
      </c>
      <c r="B28" s="0" t="s">
        <v>442</v>
      </c>
      <c r="C28" s="12" t="n">
        <f aca="false">IFERROR('Export-dataset'!BL4/'Import-dataset'!BL4,"")</f>
        <v>0.162467484206615</v>
      </c>
      <c r="D28" s="12" t="n">
        <f aca="false">IFERROR('Export-dataset'!BL5/'Import-dataset'!BL5,"")</f>
        <v>0.169012348721994</v>
      </c>
      <c r="E28" s="12" t="n">
        <f aca="false">IFERROR('Export-dataset'!BL6/'Import-dataset'!BL6,"")</f>
        <v>0.164518386419558</v>
      </c>
      <c r="F28" s="12" t="n">
        <f aca="false">IFERROR('Export-dataset'!BL7/'Import-dataset'!BL7,"")</f>
        <v>0.177247991707696</v>
      </c>
      <c r="G28" s="12" t="n">
        <f aca="false">IFERROR('Export-dataset'!BL8/'Import-dataset'!BL8,"")</f>
        <v>0.160215474173509</v>
      </c>
      <c r="H28" s="12" t="n">
        <f aca="false">IFERROR('Export-dataset'!BL9/'Import-dataset'!BL9,"")</f>
        <v>0.160300013963416</v>
      </c>
      <c r="I28" s="12" t="n">
        <f aca="false">IFERROR('Export-dataset'!BL10/'Import-dataset'!BL10,"")</f>
        <v>0.157926786832765</v>
      </c>
      <c r="J28" s="12" t="n">
        <f aca="false">IFERROR('Export-dataset'!BL11/'Import-dataset'!BL11,"")</f>
        <v>0.188821860749039</v>
      </c>
      <c r="K28" s="12" t="n">
        <f aca="false">IFERROR('Export-dataset'!BL12/'Import-dataset'!BL12,"")</f>
        <v>0.185027819929186</v>
      </c>
      <c r="L28" s="12" t="n">
        <f aca="false">IFERROR('Export-dataset'!BL13/'Import-dataset'!BL13,"")</f>
        <v>0.188217934886082</v>
      </c>
    </row>
    <row r="29" customFormat="false" ht="15" hidden="false" customHeight="false" outlineLevel="0" collapsed="false">
      <c r="A29" s="0" t="s">
        <v>459</v>
      </c>
      <c r="B29" s="0" t="s">
        <v>460</v>
      </c>
      <c r="C29" s="12" t="n">
        <f aca="false">IFERROR('Export-dataset'!BU4/'Import-dataset'!BU4,"")</f>
        <v>2.75567155189721</v>
      </c>
      <c r="D29" s="12" t="n">
        <f aca="false">IFERROR('Export-dataset'!BU5/'Import-dataset'!BU5,"")</f>
        <v>1.19283077066879</v>
      </c>
      <c r="E29" s="12" t="n">
        <f aca="false">IFERROR('Export-dataset'!BU6/'Import-dataset'!BU6,"")</f>
        <v>2.13962108731466</v>
      </c>
      <c r="F29" s="12" t="n">
        <f aca="false">IFERROR('Export-dataset'!BU7/'Import-dataset'!BU7,"")</f>
        <v>2.72517998400142</v>
      </c>
      <c r="G29" s="12" t="n">
        <f aca="false">IFERROR('Export-dataset'!BU8/'Import-dataset'!BU8,"")</f>
        <v>2.88803088803089</v>
      </c>
      <c r="H29" s="12" t="n">
        <f aca="false">IFERROR('Export-dataset'!BU9/'Import-dataset'!BU9,"")</f>
        <v>3.29435375970029</v>
      </c>
      <c r="I29" s="12" t="n">
        <f aca="false">IFERROR('Export-dataset'!BU10/'Import-dataset'!BU10,"")</f>
        <v>3.19354051415555</v>
      </c>
      <c r="J29" s="12" t="n">
        <f aca="false">IFERROR('Export-dataset'!BU11/'Import-dataset'!BU11,"")</f>
        <v>3.28007952286282</v>
      </c>
      <c r="K29" s="12" t="n">
        <f aca="false">IFERROR('Export-dataset'!BU12/'Import-dataset'!BU12,"")</f>
        <v>3.35330363771344</v>
      </c>
      <c r="L29" s="12" t="n">
        <f aca="false">IFERROR('Export-dataset'!BU13/'Import-dataset'!BU13,"")</f>
        <v>2.59206931543205</v>
      </c>
    </row>
    <row r="30" customFormat="false" ht="15" hidden="false" customHeight="false" outlineLevel="0" collapsed="false">
      <c r="A30" s="0" t="s">
        <v>471</v>
      </c>
      <c r="B30" s="0" t="s">
        <v>509</v>
      </c>
      <c r="C30" s="12" t="n">
        <f aca="false">IFERROR('Export-dataset'!CA4/'Import-dataset'!CA4,"")</f>
        <v>1.01621419725176</v>
      </c>
      <c r="D30" s="12" t="n">
        <f aca="false">IFERROR('Export-dataset'!CA5/'Import-dataset'!CA5,"")</f>
        <v>1.04524248068792</v>
      </c>
      <c r="E30" s="12" t="n">
        <f aca="false">IFERROR('Export-dataset'!CA6/'Import-dataset'!CA6,"")</f>
        <v>1.13341555665187</v>
      </c>
      <c r="F30" s="12" t="n">
        <f aca="false">IFERROR('Export-dataset'!CA7/'Import-dataset'!CA7,"")</f>
        <v>1.26802883442964</v>
      </c>
      <c r="G30" s="12" t="n">
        <f aca="false">IFERROR('Export-dataset'!CA8/'Import-dataset'!CA8,"")</f>
        <v>1.23543696760592</v>
      </c>
      <c r="H30" s="12" t="n">
        <f aca="false">IFERROR('Export-dataset'!CA9/'Import-dataset'!CA9,"")</f>
        <v>1.38740408316527</v>
      </c>
      <c r="I30" s="12" t="n">
        <f aca="false">IFERROR('Export-dataset'!CA10/'Import-dataset'!CA10,"")</f>
        <v>1.42412986028844</v>
      </c>
      <c r="J30" s="12" t="n">
        <f aca="false">IFERROR('Export-dataset'!CA11/'Import-dataset'!CA11,"")</f>
        <v>1.34975801521738</v>
      </c>
      <c r="K30" s="12" t="n">
        <f aca="false">IFERROR('Export-dataset'!CA12/'Import-dataset'!CA12,"")</f>
        <v>1.20264124520498</v>
      </c>
      <c r="L30" s="12" t="n">
        <f aca="false">IFERROR('Export-dataset'!CA13/'Import-dataset'!CA13,"")</f>
        <v>1.13503274270612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12" min="3" style="0" width="9"/>
  </cols>
  <sheetData>
    <row r="1" customFormat="false" ht="16.15" hidden="false" customHeight="false" outlineLevel="0" collapsed="false">
      <c r="A1" s="2" t="s">
        <v>511</v>
      </c>
    </row>
    <row r="2" customFormat="false" ht="15" hidden="false" customHeight="false" outlineLevel="0" collapsed="false">
      <c r="A2" s="0" t="s">
        <v>512</v>
      </c>
    </row>
    <row r="4" customFormat="false" ht="16.15" hidden="false" customHeight="false" outlineLevel="0" collapsed="false">
      <c r="A4" s="2" t="s">
        <v>513</v>
      </c>
    </row>
    <row r="5" customFormat="false" ht="15" hidden="false" customHeight="false" outlineLevel="0" collapsed="false">
      <c r="A5" s="3" t="s">
        <v>311</v>
      </c>
      <c r="B5" s="3" t="s">
        <v>313</v>
      </c>
      <c r="C5" s="7" t="s">
        <v>315</v>
      </c>
      <c r="D5" s="7" t="s">
        <v>339</v>
      </c>
      <c r="E5" s="7" t="s">
        <v>345</v>
      </c>
      <c r="F5" s="7" t="s">
        <v>365</v>
      </c>
      <c r="G5" s="7" t="s">
        <v>373</v>
      </c>
      <c r="H5" s="7" t="s">
        <v>381</v>
      </c>
      <c r="I5" s="7" t="s">
        <v>401</v>
      </c>
      <c r="J5" s="7" t="s">
        <v>421</v>
      </c>
      <c r="K5" s="7" t="s">
        <v>441</v>
      </c>
      <c r="L5" s="7" t="s">
        <v>459</v>
      </c>
    </row>
    <row r="6" customFormat="false" ht="15" hidden="false" customHeight="false" outlineLevel="0" collapsed="false">
      <c r="A6" s="0" t="s">
        <v>315</v>
      </c>
      <c r="B6" s="0" t="s">
        <v>317</v>
      </c>
      <c r="C6" s="13" t="n">
        <f aca="false">CORREL('Main-Analytics'!$C$19:$K$19,'Main-Analytics'!$C$19:$K$19)</f>
        <v>1</v>
      </c>
      <c r="D6" s="13" t="n">
        <f aca="false">CORREL('Main-Analytics'!$C$19:$K$19,'Main-Analytics'!$C$20:$K$20)</f>
        <v>-0.487277481607367</v>
      </c>
      <c r="E6" s="13" t="n">
        <f aca="false">CORREL('Main-Analytics'!$C$19:$K$19,'Main-Analytics'!$C$21:$K$21)</f>
        <v>0.22213150183794</v>
      </c>
      <c r="F6" s="13" t="n">
        <f aca="false">CORREL('Main-Analytics'!$C$19:$K$19,'Main-Analytics'!$C$22:$K$22)</f>
        <v>0.595163383948777</v>
      </c>
      <c r="G6" s="13" t="n">
        <f aca="false">CORREL('Main-Analytics'!$C$19:$K$19,'Main-Analytics'!$C$23:$K$23)</f>
        <v>0.778776377839798</v>
      </c>
      <c r="H6" s="13" t="n">
        <f aca="false">CORREL('Main-Analytics'!$C$19:$K$19,'Main-Analytics'!$C$24:$K$24)</f>
        <v>0.013168527398037</v>
      </c>
      <c r="I6" s="13" t="n">
        <f aca="false">CORREL('Main-Analytics'!$C$19:$K$19,'Main-Analytics'!$C$25:$K$25)</f>
        <v>0.590999053239843</v>
      </c>
      <c r="J6" s="13" t="n">
        <f aca="false">CORREL('Main-Analytics'!$C$19:$K$19,'Main-Analytics'!$C$26:$K$26)</f>
        <v>0.212923128986666</v>
      </c>
      <c r="K6" s="13" t="n">
        <f aca="false">CORREL('Main-Analytics'!$C$19:$K$19,'Main-Analytics'!$C$27:$K$27)</f>
        <v>0.488274976369459</v>
      </c>
      <c r="L6" s="13" t="n">
        <f aca="false">CORREL('Main-Analytics'!$C$19:$K$19,'Main-Analytics'!$C$28:$K$28)</f>
        <v>0.219816512674435</v>
      </c>
    </row>
    <row r="7" customFormat="false" ht="15" hidden="false" customHeight="false" outlineLevel="0" collapsed="false">
      <c r="A7" s="0" t="s">
        <v>339</v>
      </c>
      <c r="B7" s="0" t="s">
        <v>340</v>
      </c>
      <c r="C7" s="13" t="n">
        <f aca="false">CORREL('Main-Analytics'!$C$20:$K$20,'Main-Analytics'!$C$19:$K$19)</f>
        <v>-0.487277481607367</v>
      </c>
      <c r="D7" s="13" t="n">
        <f aca="false">CORREL('Main-Analytics'!$C$20:$K$20,'Main-Analytics'!$C$20:$K$20)</f>
        <v>1</v>
      </c>
      <c r="E7" s="13" t="n">
        <f aca="false">CORREL('Main-Analytics'!$C$20:$K$20,'Main-Analytics'!$C$21:$K$21)</f>
        <v>-0.518795644442707</v>
      </c>
      <c r="F7" s="13" t="n">
        <f aca="false">CORREL('Main-Analytics'!$C$20:$K$20,'Main-Analytics'!$C$22:$K$22)</f>
        <v>-0.0463796785025163</v>
      </c>
      <c r="G7" s="13" t="n">
        <f aca="false">CORREL('Main-Analytics'!$C$20:$K$20,'Main-Analytics'!$C$23:$K$23)</f>
        <v>-0.675440160839473</v>
      </c>
      <c r="H7" s="13" t="n">
        <f aca="false">CORREL('Main-Analytics'!$C$20:$K$20,'Main-Analytics'!$C$24:$K$24)</f>
        <v>0.542676390362002</v>
      </c>
      <c r="I7" s="13" t="n">
        <f aca="false">CORREL('Main-Analytics'!$C$20:$K$20,'Main-Analytics'!$C$25:$K$25)</f>
        <v>0.134894990854036</v>
      </c>
      <c r="J7" s="13" t="n">
        <f aca="false">CORREL('Main-Analytics'!$C$20:$K$20,'Main-Analytics'!$C$26:$K$26)</f>
        <v>0.300700476344196</v>
      </c>
      <c r="K7" s="13" t="n">
        <f aca="false">CORREL('Main-Analytics'!$C$20:$K$20,'Main-Analytics'!$C$27:$K$27)</f>
        <v>0.0289693276230663</v>
      </c>
      <c r="L7" s="13" t="n">
        <f aca="false">CORREL('Main-Analytics'!$C$20:$K$20,'Main-Analytics'!$C$28:$K$28)</f>
        <v>-0.237166091618696</v>
      </c>
    </row>
    <row r="8" customFormat="false" ht="15" hidden="false" customHeight="false" outlineLevel="0" collapsed="false">
      <c r="A8" s="0" t="s">
        <v>345</v>
      </c>
      <c r="B8" s="0" t="s">
        <v>346</v>
      </c>
      <c r="C8" s="13" t="n">
        <f aca="false">CORREL('Main-Analytics'!$C$21:$K$21,'Main-Analytics'!$C$19:$K$19)</f>
        <v>0.22213150183794</v>
      </c>
      <c r="D8" s="13" t="n">
        <f aca="false">CORREL('Main-Analytics'!$C$21:$K$21,'Main-Analytics'!$C$20:$K$20)</f>
        <v>-0.518795644442707</v>
      </c>
      <c r="E8" s="13" t="n">
        <f aca="false">CORREL('Main-Analytics'!$C$21:$K$21,'Main-Analytics'!$C$21:$K$21)</f>
        <v>1</v>
      </c>
      <c r="F8" s="13" t="n">
        <f aca="false">CORREL('Main-Analytics'!$C$21:$K$21,'Main-Analytics'!$C$22:$K$22)</f>
        <v>0.0306066811650399</v>
      </c>
      <c r="G8" s="13" t="n">
        <f aca="false">CORREL('Main-Analytics'!$C$21:$K$21,'Main-Analytics'!$C$23:$K$23)</f>
        <v>0.032745150736499</v>
      </c>
      <c r="H8" s="13" t="n">
        <f aca="false">CORREL('Main-Analytics'!$C$21:$K$21,'Main-Analytics'!$C$24:$K$24)</f>
        <v>-0.317308745527968</v>
      </c>
      <c r="I8" s="13" t="n">
        <f aca="false">CORREL('Main-Analytics'!$C$21:$K$21,'Main-Analytics'!$C$25:$K$25)</f>
        <v>-0.0858998709698328</v>
      </c>
      <c r="J8" s="13" t="n">
        <f aca="false">CORREL('Main-Analytics'!$C$21:$K$21,'Main-Analytics'!$C$26:$K$26)</f>
        <v>-0.371148961918945</v>
      </c>
      <c r="K8" s="13" t="n">
        <f aca="false">CORREL('Main-Analytics'!$C$21:$K$21,'Main-Analytics'!$C$27:$K$27)</f>
        <v>0.0385212476159943</v>
      </c>
      <c r="L8" s="13" t="n">
        <f aca="false">CORREL('Main-Analytics'!$C$21:$K$21,'Main-Analytics'!$C$28:$K$28)</f>
        <v>-0.181014324079019</v>
      </c>
    </row>
    <row r="9" customFormat="false" ht="15" hidden="false" customHeight="false" outlineLevel="0" collapsed="false">
      <c r="A9" s="0" t="s">
        <v>365</v>
      </c>
      <c r="B9" s="0" t="s">
        <v>366</v>
      </c>
      <c r="C9" s="13" t="n">
        <f aca="false">CORREL('Main-Analytics'!$C$22:$K$22,'Main-Analytics'!$C$19:$K$19)</f>
        <v>0.595163383948777</v>
      </c>
      <c r="D9" s="13" t="n">
        <f aca="false">CORREL('Main-Analytics'!$C$22:$K$22,'Main-Analytics'!$C$20:$K$20)</f>
        <v>-0.0463796785025163</v>
      </c>
      <c r="E9" s="13" t="n">
        <f aca="false">CORREL('Main-Analytics'!$C$22:$K$22,'Main-Analytics'!$C$21:$K$21)</f>
        <v>0.0306066811650399</v>
      </c>
      <c r="F9" s="13" t="n">
        <f aca="false">CORREL('Main-Analytics'!$C$22:$K$22,'Main-Analytics'!$C$22:$K$22)</f>
        <v>1</v>
      </c>
      <c r="G9" s="13" t="n">
        <f aca="false">CORREL('Main-Analytics'!$C$22:$K$22,'Main-Analytics'!$C$23:$K$23)</f>
        <v>0.579762148125473</v>
      </c>
      <c r="H9" s="13" t="n">
        <f aca="false">CORREL('Main-Analytics'!$C$22:$K$22,'Main-Analytics'!$C$24:$K$24)</f>
        <v>0.619577820800265</v>
      </c>
      <c r="I9" s="13" t="n">
        <f aca="false">CORREL('Main-Analytics'!$C$22:$K$22,'Main-Analytics'!$C$25:$K$25)</f>
        <v>0.71795700381877</v>
      </c>
      <c r="J9" s="13" t="n">
        <f aca="false">CORREL('Main-Analytics'!$C$22:$K$22,'Main-Analytics'!$C$26:$K$26)</f>
        <v>0.167358258252642</v>
      </c>
      <c r="K9" s="13" t="n">
        <f aca="false">CORREL('Main-Analytics'!$C$22:$K$22,'Main-Analytics'!$C$27:$K$27)</f>
        <v>0.356122769846622</v>
      </c>
      <c r="L9" s="13" t="n">
        <f aca="false">CORREL('Main-Analytics'!$C$22:$K$22,'Main-Analytics'!$C$28:$K$28)</f>
        <v>-0.413801487632906</v>
      </c>
    </row>
    <row r="10" customFormat="false" ht="15" hidden="false" customHeight="false" outlineLevel="0" collapsed="false">
      <c r="A10" s="0" t="s">
        <v>373</v>
      </c>
      <c r="B10" s="0" t="s">
        <v>374</v>
      </c>
      <c r="C10" s="13" t="n">
        <f aca="false">CORREL('Main-Analytics'!$C$23:$K$23,'Main-Analytics'!$C$19:$K$19)</f>
        <v>0.778776377839798</v>
      </c>
      <c r="D10" s="13" t="n">
        <f aca="false">CORREL('Main-Analytics'!$C$23:$K$23,'Main-Analytics'!$C$20:$K$20)</f>
        <v>-0.675440160839473</v>
      </c>
      <c r="E10" s="13" t="n">
        <f aca="false">CORREL('Main-Analytics'!$C$23:$K$23,'Main-Analytics'!$C$21:$K$21)</f>
        <v>0.032745150736499</v>
      </c>
      <c r="F10" s="13" t="n">
        <f aca="false">CORREL('Main-Analytics'!$C$23:$K$23,'Main-Analytics'!$C$22:$K$22)</f>
        <v>0.579762148125473</v>
      </c>
      <c r="G10" s="13" t="n">
        <f aca="false">CORREL('Main-Analytics'!$C$23:$K$23,'Main-Analytics'!$C$23:$K$23)</f>
        <v>1</v>
      </c>
      <c r="H10" s="13" t="n">
        <f aca="false">CORREL('Main-Analytics'!$C$23:$K$23,'Main-Analytics'!$C$24:$K$24)</f>
        <v>0.0318966146790375</v>
      </c>
      <c r="I10" s="13" t="n">
        <f aca="false">CORREL('Main-Analytics'!$C$23:$K$23,'Main-Analytics'!$C$25:$K$25)</f>
        <v>0.302218161541813</v>
      </c>
      <c r="J10" s="13" t="n">
        <f aca="false">CORREL('Main-Analytics'!$C$23:$K$23,'Main-Analytics'!$C$26:$K$26)</f>
        <v>-0.0562661805083372</v>
      </c>
      <c r="K10" s="13" t="n">
        <f aca="false">CORREL('Main-Analytics'!$C$23:$K$23,'Main-Analytics'!$C$27:$K$27)</f>
        <v>0.0807145898011469</v>
      </c>
      <c r="L10" s="13" t="n">
        <f aca="false">CORREL('Main-Analytics'!$C$23:$K$23,'Main-Analytics'!$C$28:$K$28)</f>
        <v>0.236641792485219</v>
      </c>
    </row>
    <row r="11" customFormat="false" ht="15" hidden="false" customHeight="false" outlineLevel="0" collapsed="false">
      <c r="A11" s="0" t="s">
        <v>381</v>
      </c>
      <c r="B11" s="0" t="s">
        <v>382</v>
      </c>
      <c r="C11" s="13" t="n">
        <f aca="false">CORREL('Main-Analytics'!$C$24:$K$24,'Main-Analytics'!$C$19:$K$19)</f>
        <v>0.013168527398037</v>
      </c>
      <c r="D11" s="13" t="n">
        <f aca="false">CORREL('Main-Analytics'!$C$24:$K$24,'Main-Analytics'!$C$20:$K$20)</f>
        <v>0.542676390362002</v>
      </c>
      <c r="E11" s="13" t="n">
        <f aca="false">CORREL('Main-Analytics'!$C$24:$K$24,'Main-Analytics'!$C$21:$K$21)</f>
        <v>-0.317308745527968</v>
      </c>
      <c r="F11" s="13" t="n">
        <f aca="false">CORREL('Main-Analytics'!$C$24:$K$24,'Main-Analytics'!$C$22:$K$22)</f>
        <v>0.619577820800265</v>
      </c>
      <c r="G11" s="13" t="n">
        <f aca="false">CORREL('Main-Analytics'!$C$24:$K$24,'Main-Analytics'!$C$23:$K$23)</f>
        <v>0.0318966146790375</v>
      </c>
      <c r="H11" s="13" t="n">
        <f aca="false">CORREL('Main-Analytics'!$C$24:$K$24,'Main-Analytics'!$C$24:$K$24)</f>
        <v>1</v>
      </c>
      <c r="I11" s="13" t="n">
        <f aca="false">CORREL('Main-Analytics'!$C$24:$K$24,'Main-Analytics'!$C$25:$K$25)</f>
        <v>0.525667721218577</v>
      </c>
      <c r="J11" s="13" t="n">
        <f aca="false">CORREL('Main-Analytics'!$C$24:$K$24,'Main-Analytics'!$C$26:$K$26)</f>
        <v>0.418312629782849</v>
      </c>
      <c r="K11" s="13" t="n">
        <f aca="false">CORREL('Main-Analytics'!$C$24:$K$24,'Main-Analytics'!$C$27:$K$27)</f>
        <v>0.270790869141371</v>
      </c>
      <c r="L11" s="13" t="n">
        <f aca="false">CORREL('Main-Analytics'!$C$24:$K$24,'Main-Analytics'!$C$28:$K$28)</f>
        <v>-0.163720255648854</v>
      </c>
    </row>
    <row r="12" customFormat="false" ht="15" hidden="false" customHeight="false" outlineLevel="0" collapsed="false">
      <c r="A12" s="0" t="s">
        <v>401</v>
      </c>
      <c r="B12" s="0" t="s">
        <v>402</v>
      </c>
      <c r="C12" s="13" t="n">
        <f aca="false">CORREL('Main-Analytics'!$C$25:$K$25,'Main-Analytics'!$C$19:$K$19)</f>
        <v>0.590999053239843</v>
      </c>
      <c r="D12" s="13" t="n">
        <f aca="false">CORREL('Main-Analytics'!$C$25:$K$25,'Main-Analytics'!$C$20:$K$20)</f>
        <v>0.134894990854036</v>
      </c>
      <c r="E12" s="13" t="n">
        <f aca="false">CORREL('Main-Analytics'!$C$25:$K$25,'Main-Analytics'!$C$21:$K$21)</f>
        <v>-0.0858998709698328</v>
      </c>
      <c r="F12" s="13" t="n">
        <f aca="false">CORREL('Main-Analytics'!$C$25:$K$25,'Main-Analytics'!$C$22:$K$22)</f>
        <v>0.71795700381877</v>
      </c>
      <c r="G12" s="13" t="n">
        <f aca="false">CORREL('Main-Analytics'!$C$25:$K$25,'Main-Analytics'!$C$23:$K$23)</f>
        <v>0.302218161541813</v>
      </c>
      <c r="H12" s="13" t="n">
        <f aca="false">CORREL('Main-Analytics'!$C$25:$K$25,'Main-Analytics'!$C$24:$K$24)</f>
        <v>0.525667721218577</v>
      </c>
      <c r="I12" s="13" t="n">
        <f aca="false">CORREL('Main-Analytics'!$C$25:$K$25,'Main-Analytics'!$C$25:$K$25)</f>
        <v>1</v>
      </c>
      <c r="J12" s="13" t="n">
        <f aca="false">CORREL('Main-Analytics'!$C$25:$K$25,'Main-Analytics'!$C$26:$K$26)</f>
        <v>0.499165129327997</v>
      </c>
      <c r="K12" s="13" t="n">
        <f aca="false">CORREL('Main-Analytics'!$C$25:$K$25,'Main-Analytics'!$C$27:$K$27)</f>
        <v>0.60455241534314</v>
      </c>
      <c r="L12" s="13" t="n">
        <f aca="false">CORREL('Main-Analytics'!$C$25:$K$25,'Main-Analytics'!$C$28:$K$28)</f>
        <v>-0.0609524327017919</v>
      </c>
    </row>
    <row r="13" customFormat="false" ht="15" hidden="false" customHeight="false" outlineLevel="0" collapsed="false">
      <c r="A13" s="0" t="s">
        <v>421</v>
      </c>
      <c r="B13" s="0" t="s">
        <v>422</v>
      </c>
      <c r="C13" s="13" t="n">
        <f aca="false">CORREL('Main-Analytics'!$C$26:$K$26,'Main-Analytics'!$C$19:$K$19)</f>
        <v>0.212923128986666</v>
      </c>
      <c r="D13" s="13" t="n">
        <f aca="false">CORREL('Main-Analytics'!$C$26:$K$26,'Main-Analytics'!$C$20:$K$20)</f>
        <v>0.300700476344196</v>
      </c>
      <c r="E13" s="13" t="n">
        <f aca="false">CORREL('Main-Analytics'!$C$26:$K$26,'Main-Analytics'!$C$21:$K$21)</f>
        <v>-0.371148961918945</v>
      </c>
      <c r="F13" s="13" t="n">
        <f aca="false">CORREL('Main-Analytics'!$C$26:$K$26,'Main-Analytics'!$C$22:$K$22)</f>
        <v>0.167358258252642</v>
      </c>
      <c r="G13" s="13" t="n">
        <f aca="false">CORREL('Main-Analytics'!$C$26:$K$26,'Main-Analytics'!$C$23:$K$23)</f>
        <v>-0.0562661805083372</v>
      </c>
      <c r="H13" s="13" t="n">
        <f aca="false">CORREL('Main-Analytics'!$C$26:$K$26,'Main-Analytics'!$C$24:$K$24)</f>
        <v>0.418312629782849</v>
      </c>
      <c r="I13" s="13" t="n">
        <f aca="false">CORREL('Main-Analytics'!$C$26:$K$26,'Main-Analytics'!$C$25:$K$25)</f>
        <v>0.499165129327997</v>
      </c>
      <c r="J13" s="13" t="n">
        <f aca="false">CORREL('Main-Analytics'!$C$26:$K$26,'Main-Analytics'!$C$26:$K$26)</f>
        <v>1</v>
      </c>
      <c r="K13" s="13" t="n">
        <f aca="false">CORREL('Main-Analytics'!$C$26:$K$26,'Main-Analytics'!$C$27:$K$27)</f>
        <v>0.860316700219021</v>
      </c>
      <c r="L13" s="13" t="n">
        <f aca="false">CORREL('Main-Analytics'!$C$26:$K$26,'Main-Analytics'!$C$28:$K$28)</f>
        <v>0.231064821431357</v>
      </c>
    </row>
    <row r="14" customFormat="false" ht="15" hidden="false" customHeight="false" outlineLevel="0" collapsed="false">
      <c r="A14" s="0" t="s">
        <v>441</v>
      </c>
      <c r="B14" s="0" t="s">
        <v>442</v>
      </c>
      <c r="C14" s="13" t="n">
        <f aca="false">CORREL('Main-Analytics'!$C$27:$K$27,'Main-Analytics'!$C$19:$K$19)</f>
        <v>0.488274976369459</v>
      </c>
      <c r="D14" s="13" t="n">
        <f aca="false">CORREL('Main-Analytics'!$C$27:$K$27,'Main-Analytics'!$C$20:$K$20)</f>
        <v>0.0289693276230663</v>
      </c>
      <c r="E14" s="13" t="n">
        <f aca="false">CORREL('Main-Analytics'!$C$27:$K$27,'Main-Analytics'!$C$21:$K$21)</f>
        <v>0.0385212476159943</v>
      </c>
      <c r="F14" s="13" t="n">
        <f aca="false">CORREL('Main-Analytics'!$C$27:$K$27,'Main-Analytics'!$C$22:$K$22)</f>
        <v>0.356122769846622</v>
      </c>
      <c r="G14" s="13" t="n">
        <f aca="false">CORREL('Main-Analytics'!$C$27:$K$27,'Main-Analytics'!$C$23:$K$23)</f>
        <v>0.0807145898011469</v>
      </c>
      <c r="H14" s="13" t="n">
        <f aca="false">CORREL('Main-Analytics'!$C$27:$K$27,'Main-Analytics'!$C$24:$K$24)</f>
        <v>0.270790869141371</v>
      </c>
      <c r="I14" s="13" t="n">
        <f aca="false">CORREL('Main-Analytics'!$C$27:$K$27,'Main-Analytics'!$C$25:$K$25)</f>
        <v>0.60455241534314</v>
      </c>
      <c r="J14" s="13" t="n">
        <f aca="false">CORREL('Main-Analytics'!$C$27:$K$27,'Main-Analytics'!$C$26:$K$26)</f>
        <v>0.860316700219021</v>
      </c>
      <c r="K14" s="13" t="n">
        <f aca="false">CORREL('Main-Analytics'!$C$27:$K$27,'Main-Analytics'!$C$27:$K$27)</f>
        <v>1</v>
      </c>
      <c r="L14" s="13" t="n">
        <f aca="false">CORREL('Main-Analytics'!$C$27:$K$27,'Main-Analytics'!$C$28:$K$28)</f>
        <v>0.0274054475944472</v>
      </c>
    </row>
    <row r="15" customFormat="false" ht="15" hidden="false" customHeight="false" outlineLevel="0" collapsed="false">
      <c r="A15" s="0" t="s">
        <v>459</v>
      </c>
      <c r="B15" s="0" t="s">
        <v>460</v>
      </c>
      <c r="C15" s="13" t="n">
        <f aca="false">CORREL('Main-Analytics'!$C$28:$K$28,'Main-Analytics'!$C$19:$K$19)</f>
        <v>0.219816512674435</v>
      </c>
      <c r="D15" s="13" t="n">
        <f aca="false">CORREL('Main-Analytics'!$C$28:$K$28,'Main-Analytics'!$C$20:$K$20)</f>
        <v>-0.237166091618696</v>
      </c>
      <c r="E15" s="13" t="n">
        <f aca="false">CORREL('Main-Analytics'!$C$28:$K$28,'Main-Analytics'!$C$21:$K$21)</f>
        <v>-0.181014324079019</v>
      </c>
      <c r="F15" s="13" t="n">
        <f aca="false">CORREL('Main-Analytics'!$C$28:$K$28,'Main-Analytics'!$C$22:$K$22)</f>
        <v>-0.413801487632906</v>
      </c>
      <c r="G15" s="13" t="n">
        <f aca="false">CORREL('Main-Analytics'!$C$28:$K$28,'Main-Analytics'!$C$23:$K$23)</f>
        <v>0.236641792485219</v>
      </c>
      <c r="H15" s="13" t="n">
        <f aca="false">CORREL('Main-Analytics'!$C$28:$K$28,'Main-Analytics'!$C$24:$K$24)</f>
        <v>-0.163720255648854</v>
      </c>
      <c r="I15" s="13" t="n">
        <f aca="false">CORREL('Main-Analytics'!$C$28:$K$28,'Main-Analytics'!$C$25:$K$25)</f>
        <v>-0.0609524327017919</v>
      </c>
      <c r="J15" s="13" t="n">
        <f aca="false">CORREL('Main-Analytics'!$C$28:$K$28,'Main-Analytics'!$C$26:$K$26)</f>
        <v>0.231064821431357</v>
      </c>
      <c r="K15" s="13" t="n">
        <f aca="false">CORREL('Main-Analytics'!$C$28:$K$28,'Main-Analytics'!$C$27:$K$27)</f>
        <v>0.0274054475944472</v>
      </c>
      <c r="L15" s="13" t="n">
        <f aca="false">CORREL('Main-Analytics'!$C$28:$K$28,'Main-Analytics'!$C$28:$K$28)</f>
        <v>1</v>
      </c>
    </row>
    <row r="17" customFormat="false" ht="16.15" hidden="false" customHeight="false" outlineLevel="0" collapsed="false">
      <c r="A17" s="2" t="s">
        <v>514</v>
      </c>
    </row>
    <row r="18" customFormat="false" ht="15" hidden="false" customHeight="false" outlineLevel="0" collapsed="false">
      <c r="A18" s="3" t="s">
        <v>311</v>
      </c>
      <c r="B18" s="3" t="s">
        <v>313</v>
      </c>
      <c r="C18" s="7" t="s">
        <v>315</v>
      </c>
      <c r="D18" s="7" t="s">
        <v>339</v>
      </c>
      <c r="E18" s="7" t="s">
        <v>345</v>
      </c>
      <c r="F18" s="7" t="s">
        <v>365</v>
      </c>
      <c r="G18" s="7" t="s">
        <v>373</v>
      </c>
      <c r="H18" s="7" t="s">
        <v>381</v>
      </c>
      <c r="I18" s="7" t="s">
        <v>401</v>
      </c>
      <c r="J18" s="7" t="s">
        <v>421</v>
      </c>
      <c r="K18" s="7" t="s">
        <v>441</v>
      </c>
      <c r="L18" s="7" t="s">
        <v>459</v>
      </c>
    </row>
    <row r="19" customFormat="false" ht="15" hidden="false" customHeight="false" outlineLevel="0" collapsed="false">
      <c r="A19" s="0" t="s">
        <v>315</v>
      </c>
      <c r="B19" s="0" t="s">
        <v>317</v>
      </c>
      <c r="C19" s="14" t="n">
        <f aca="false">CORREL('Main-Analytics'!$C$84:$K$84,'Main-Analytics'!$C$84:$K$84)</f>
        <v>1</v>
      </c>
      <c r="D19" s="14" t="n">
        <f aca="false">CORREL('Main-Analytics'!$C$84:$K$84,'Main-Analytics'!$C$85:$K$85)</f>
        <v>0.509593609507392</v>
      </c>
      <c r="E19" s="14" t="n">
        <f aca="false">CORREL('Main-Analytics'!$C$84:$K$84,'Main-Analytics'!$C$86:$K$86)</f>
        <v>-0.242440396488021</v>
      </c>
      <c r="F19" s="14" t="n">
        <f aca="false">CORREL('Main-Analytics'!$C$84:$K$84,'Main-Analytics'!$C$87:$K$87)</f>
        <v>0.150941642935518</v>
      </c>
      <c r="G19" s="14" t="n">
        <f aca="false">CORREL('Main-Analytics'!$C$84:$K$84,'Main-Analytics'!$C$88:$K$88)</f>
        <v>0.558775197103928</v>
      </c>
      <c r="H19" s="14" t="n">
        <f aca="false">CORREL('Main-Analytics'!$C$84:$K$84,'Main-Analytics'!$C$89:$K$89)</f>
        <v>0.526527484833431</v>
      </c>
      <c r="I19" s="14" t="n">
        <f aca="false">CORREL('Main-Analytics'!$C$84:$K$84,'Main-Analytics'!$C$90:$K$90)</f>
        <v>0.427571927053432</v>
      </c>
      <c r="J19" s="14" t="n">
        <f aca="false">CORREL('Main-Analytics'!$C$84:$K$84,'Main-Analytics'!$C$91:$K$91)</f>
        <v>-0.113555353913992</v>
      </c>
      <c r="K19" s="14" t="n">
        <f aca="false">CORREL('Main-Analytics'!$C$84:$K$84,'Main-Analytics'!$C$92:$K$92)</f>
        <v>0.45485936368383</v>
      </c>
      <c r="L19" s="14" t="n">
        <f aca="false">CORREL('Main-Analytics'!$C$84:$K$84,'Main-Analytics'!$C$93:$K$93)</f>
        <v>0.00368869950442694</v>
      </c>
    </row>
    <row r="20" customFormat="false" ht="15" hidden="false" customHeight="false" outlineLevel="0" collapsed="false">
      <c r="A20" s="0" t="s">
        <v>339</v>
      </c>
      <c r="B20" s="0" t="s">
        <v>340</v>
      </c>
      <c r="C20" s="14" t="n">
        <f aca="false">CORREL('Main-Analytics'!$C$85:$K$85,'Main-Analytics'!$C$84:$K$84)</f>
        <v>0.509593609507392</v>
      </c>
      <c r="D20" s="14" t="n">
        <f aca="false">CORREL('Main-Analytics'!$C$85:$K$85,'Main-Analytics'!$C$85:$K$85)</f>
        <v>1</v>
      </c>
      <c r="E20" s="14" t="n">
        <f aca="false">CORREL('Main-Analytics'!$C$85:$K$85,'Main-Analytics'!$C$86:$K$86)</f>
        <v>0.102268466052014</v>
      </c>
      <c r="F20" s="14" t="n">
        <f aca="false">CORREL('Main-Analytics'!$C$85:$K$85,'Main-Analytics'!$C$87:$K$87)</f>
        <v>0.719983962250871</v>
      </c>
      <c r="G20" s="14" t="n">
        <f aca="false">CORREL('Main-Analytics'!$C$85:$K$85,'Main-Analytics'!$C$88:$K$88)</f>
        <v>0.327071334542673</v>
      </c>
      <c r="H20" s="14" t="n">
        <f aca="false">CORREL('Main-Analytics'!$C$85:$K$85,'Main-Analytics'!$C$89:$K$89)</f>
        <v>0.661746071017547</v>
      </c>
      <c r="I20" s="14" t="n">
        <f aca="false">CORREL('Main-Analytics'!$C$85:$K$85,'Main-Analytics'!$C$90:$K$90)</f>
        <v>0.595135512824678</v>
      </c>
      <c r="J20" s="14" t="n">
        <f aca="false">CORREL('Main-Analytics'!$C$85:$K$85,'Main-Analytics'!$C$91:$K$91)</f>
        <v>0.256593459344532</v>
      </c>
      <c r="K20" s="14" t="n">
        <f aca="false">CORREL('Main-Analytics'!$C$85:$K$85,'Main-Analytics'!$C$92:$K$92)</f>
        <v>0.770321351566859</v>
      </c>
      <c r="L20" s="14" t="n">
        <f aca="false">CORREL('Main-Analytics'!$C$85:$K$85,'Main-Analytics'!$C$93:$K$93)</f>
        <v>-0.121811118613488</v>
      </c>
    </row>
    <row r="21" customFormat="false" ht="15" hidden="false" customHeight="false" outlineLevel="0" collapsed="false">
      <c r="A21" s="0" t="s">
        <v>345</v>
      </c>
      <c r="B21" s="0" t="s">
        <v>346</v>
      </c>
      <c r="C21" s="14" t="n">
        <f aca="false">CORREL('Main-Analytics'!$C$86:$K$86,'Main-Analytics'!$C$84:$K$84)</f>
        <v>-0.242440396488021</v>
      </c>
      <c r="D21" s="14" t="n">
        <f aca="false">CORREL('Main-Analytics'!$C$86:$K$86,'Main-Analytics'!$C$85:$K$85)</f>
        <v>0.102268466052014</v>
      </c>
      <c r="E21" s="14" t="n">
        <f aca="false">CORREL('Main-Analytics'!$C$86:$K$86,'Main-Analytics'!$C$86:$K$86)</f>
        <v>1</v>
      </c>
      <c r="F21" s="14" t="n">
        <f aca="false">CORREL('Main-Analytics'!$C$86:$K$86,'Main-Analytics'!$C$87:$K$87)</f>
        <v>0.367675030806897</v>
      </c>
      <c r="G21" s="14" t="n">
        <f aca="false">CORREL('Main-Analytics'!$C$86:$K$86,'Main-Analytics'!$C$88:$K$88)</f>
        <v>0.329964769513081</v>
      </c>
      <c r="H21" s="14" t="n">
        <f aca="false">CORREL('Main-Analytics'!$C$86:$K$86,'Main-Analytics'!$C$89:$K$89)</f>
        <v>0.3822642803721</v>
      </c>
      <c r="I21" s="14" t="n">
        <f aca="false">CORREL('Main-Analytics'!$C$86:$K$86,'Main-Analytics'!$C$90:$K$90)</f>
        <v>0.529949084412518</v>
      </c>
      <c r="J21" s="14" t="n">
        <f aca="false">CORREL('Main-Analytics'!$C$86:$K$86,'Main-Analytics'!$C$91:$K$91)</f>
        <v>0.285827426728947</v>
      </c>
      <c r="K21" s="14" t="n">
        <f aca="false">CORREL('Main-Analytics'!$C$86:$K$86,'Main-Analytics'!$C$92:$K$92)</f>
        <v>0.470633798870564</v>
      </c>
      <c r="L21" s="14" t="n">
        <f aca="false">CORREL('Main-Analytics'!$C$86:$K$86,'Main-Analytics'!$C$93:$K$93)</f>
        <v>0.304022707126363</v>
      </c>
    </row>
    <row r="22" customFormat="false" ht="15" hidden="false" customHeight="false" outlineLevel="0" collapsed="false">
      <c r="A22" s="0" t="s">
        <v>365</v>
      </c>
      <c r="B22" s="0" t="s">
        <v>366</v>
      </c>
      <c r="C22" s="14" t="n">
        <f aca="false">CORREL('Main-Analytics'!$C$87:$K$87,'Main-Analytics'!$C$84:$K$84)</f>
        <v>0.150941642935518</v>
      </c>
      <c r="D22" s="14" t="n">
        <f aca="false">CORREL('Main-Analytics'!$C$87:$K$87,'Main-Analytics'!$C$85:$K$85)</f>
        <v>0.719983962250871</v>
      </c>
      <c r="E22" s="14" t="n">
        <f aca="false">CORREL('Main-Analytics'!$C$87:$K$87,'Main-Analytics'!$C$86:$K$86)</f>
        <v>0.367675030806897</v>
      </c>
      <c r="F22" s="14" t="n">
        <f aca="false">CORREL('Main-Analytics'!$C$87:$K$87,'Main-Analytics'!$C$87:$K$87)</f>
        <v>1</v>
      </c>
      <c r="G22" s="14" t="n">
        <f aca="false">CORREL('Main-Analytics'!$C$87:$K$87,'Main-Analytics'!$C$88:$K$88)</f>
        <v>0.51136926144549</v>
      </c>
      <c r="H22" s="14" t="n">
        <f aca="false">CORREL('Main-Analytics'!$C$87:$K$87,'Main-Analytics'!$C$89:$K$89)</f>
        <v>0.693105469653249</v>
      </c>
      <c r="I22" s="14" t="n">
        <f aca="false">CORREL('Main-Analytics'!$C$87:$K$87,'Main-Analytics'!$C$90:$K$90)</f>
        <v>0.635006499499899</v>
      </c>
      <c r="J22" s="14" t="n">
        <f aca="false">CORREL('Main-Analytics'!$C$87:$K$87,'Main-Analytics'!$C$91:$K$91)</f>
        <v>0.759409711815834</v>
      </c>
      <c r="K22" s="14" t="n">
        <f aca="false">CORREL('Main-Analytics'!$C$87:$K$87,'Main-Analytics'!$C$92:$K$92)</f>
        <v>0.771353735998275</v>
      </c>
      <c r="L22" s="14" t="n">
        <f aca="false">CORREL('Main-Analytics'!$C$87:$K$87,'Main-Analytics'!$C$93:$K$93)</f>
        <v>-0.0906310542393763</v>
      </c>
    </row>
    <row r="23" customFormat="false" ht="15" hidden="false" customHeight="false" outlineLevel="0" collapsed="false">
      <c r="A23" s="0" t="s">
        <v>373</v>
      </c>
      <c r="B23" s="0" t="s">
        <v>374</v>
      </c>
      <c r="C23" s="14" t="n">
        <f aca="false">CORREL('Main-Analytics'!$C$88:$K$88,'Main-Analytics'!$C$84:$K$84)</f>
        <v>0.558775197103928</v>
      </c>
      <c r="D23" s="14" t="n">
        <f aca="false">CORREL('Main-Analytics'!$C$88:$K$88,'Main-Analytics'!$C$85:$K$85)</f>
        <v>0.327071334542673</v>
      </c>
      <c r="E23" s="14" t="n">
        <f aca="false">CORREL('Main-Analytics'!$C$88:$K$88,'Main-Analytics'!$C$86:$K$86)</f>
        <v>0.329964769513081</v>
      </c>
      <c r="F23" s="14" t="n">
        <f aca="false">CORREL('Main-Analytics'!$C$88:$K$88,'Main-Analytics'!$C$87:$K$87)</f>
        <v>0.51136926144549</v>
      </c>
      <c r="G23" s="14" t="n">
        <f aca="false">CORREL('Main-Analytics'!$C$88:$K$88,'Main-Analytics'!$C$88:$K$88)</f>
        <v>1</v>
      </c>
      <c r="H23" s="14" t="n">
        <f aca="false">CORREL('Main-Analytics'!$C$88:$K$88,'Main-Analytics'!$C$89:$K$89)</f>
        <v>0.784267372689077</v>
      </c>
      <c r="I23" s="14" t="n">
        <f aca="false">CORREL('Main-Analytics'!$C$88:$K$88,'Main-Analytics'!$C$90:$K$90)</f>
        <v>0.82192606217145</v>
      </c>
      <c r="J23" s="14" t="n">
        <f aca="false">CORREL('Main-Analytics'!$C$88:$K$88,'Main-Analytics'!$C$91:$K$91)</f>
        <v>0.20186485085777</v>
      </c>
      <c r="K23" s="14" t="n">
        <f aca="false">CORREL('Main-Analytics'!$C$88:$K$88,'Main-Analytics'!$C$92:$K$92)</f>
        <v>0.737916551397173</v>
      </c>
      <c r="L23" s="14" t="n">
        <f aca="false">CORREL('Main-Analytics'!$C$88:$K$88,'Main-Analytics'!$C$93:$K$93)</f>
        <v>-0.176210254310353</v>
      </c>
    </row>
    <row r="24" customFormat="false" ht="15" hidden="false" customHeight="false" outlineLevel="0" collapsed="false">
      <c r="A24" s="0" t="s">
        <v>381</v>
      </c>
      <c r="B24" s="0" t="s">
        <v>382</v>
      </c>
      <c r="C24" s="14" t="n">
        <f aca="false">CORREL('Main-Analytics'!$C$89:$K$89,'Main-Analytics'!$C$84:$K$84)</f>
        <v>0.526527484833431</v>
      </c>
      <c r="D24" s="14" t="n">
        <f aca="false">CORREL('Main-Analytics'!$C$89:$K$89,'Main-Analytics'!$C$85:$K$85)</f>
        <v>0.661746071017547</v>
      </c>
      <c r="E24" s="14" t="n">
        <f aca="false">CORREL('Main-Analytics'!$C$89:$K$89,'Main-Analytics'!$C$86:$K$86)</f>
        <v>0.3822642803721</v>
      </c>
      <c r="F24" s="14" t="n">
        <f aca="false">CORREL('Main-Analytics'!$C$89:$K$89,'Main-Analytics'!$C$87:$K$87)</f>
        <v>0.693105469653249</v>
      </c>
      <c r="G24" s="14" t="n">
        <f aca="false">CORREL('Main-Analytics'!$C$89:$K$89,'Main-Analytics'!$C$88:$K$88)</f>
        <v>0.784267372689077</v>
      </c>
      <c r="H24" s="14" t="n">
        <f aca="false">CORREL('Main-Analytics'!$C$89:$K$89,'Main-Analytics'!$C$89:$K$89)</f>
        <v>1</v>
      </c>
      <c r="I24" s="14" t="n">
        <f aca="false">CORREL('Main-Analytics'!$C$89:$K$89,'Main-Analytics'!$C$90:$K$90)</f>
        <v>0.891372113012322</v>
      </c>
      <c r="J24" s="14" t="n">
        <f aca="false">CORREL('Main-Analytics'!$C$89:$K$89,'Main-Analytics'!$C$91:$K$91)</f>
        <v>0.281271960951392</v>
      </c>
      <c r="K24" s="14" t="n">
        <f aca="false">CORREL('Main-Analytics'!$C$89:$K$89,'Main-Analytics'!$C$92:$K$92)</f>
        <v>0.840032871740429</v>
      </c>
      <c r="L24" s="14" t="n">
        <f aca="false">CORREL('Main-Analytics'!$C$89:$K$89,'Main-Analytics'!$C$93:$K$93)</f>
        <v>-0.0871400101427655</v>
      </c>
    </row>
    <row r="25" customFormat="false" ht="15" hidden="false" customHeight="false" outlineLevel="0" collapsed="false">
      <c r="A25" s="0" t="s">
        <v>401</v>
      </c>
      <c r="B25" s="0" t="s">
        <v>402</v>
      </c>
      <c r="C25" s="14" t="n">
        <f aca="false">CORREL('Main-Analytics'!$C$90:$K$90,'Main-Analytics'!$C$84:$K$84)</f>
        <v>0.427571927053432</v>
      </c>
      <c r="D25" s="14" t="n">
        <f aca="false">CORREL('Main-Analytics'!$C$90:$K$90,'Main-Analytics'!$C$85:$K$85)</f>
        <v>0.595135512824678</v>
      </c>
      <c r="E25" s="14" t="n">
        <f aca="false">CORREL('Main-Analytics'!$C$90:$K$90,'Main-Analytics'!$C$86:$K$86)</f>
        <v>0.529949084412518</v>
      </c>
      <c r="F25" s="14" t="n">
        <f aca="false">CORREL('Main-Analytics'!$C$90:$K$90,'Main-Analytics'!$C$87:$K$87)</f>
        <v>0.635006499499899</v>
      </c>
      <c r="G25" s="14" t="n">
        <f aca="false">CORREL('Main-Analytics'!$C$90:$K$90,'Main-Analytics'!$C$88:$K$88)</f>
        <v>0.82192606217145</v>
      </c>
      <c r="H25" s="14" t="n">
        <f aca="false">CORREL('Main-Analytics'!$C$90:$K$90,'Main-Analytics'!$C$89:$K$89)</f>
        <v>0.891372113012322</v>
      </c>
      <c r="I25" s="14" t="n">
        <f aca="false">CORREL('Main-Analytics'!$C$90:$K$90,'Main-Analytics'!$C$90:$K$90)</f>
        <v>1</v>
      </c>
      <c r="J25" s="14" t="n">
        <f aca="false">CORREL('Main-Analytics'!$C$90:$K$90,'Main-Analytics'!$C$91:$K$91)</f>
        <v>0.115717430700875</v>
      </c>
      <c r="K25" s="14" t="n">
        <f aca="false">CORREL('Main-Analytics'!$C$90:$K$90,'Main-Analytics'!$C$92:$K$92)</f>
        <v>0.857949997425581</v>
      </c>
      <c r="L25" s="14" t="n">
        <f aca="false">CORREL('Main-Analytics'!$C$90:$K$90,'Main-Analytics'!$C$93:$K$93)</f>
        <v>-0.224295925101899</v>
      </c>
    </row>
    <row r="26" customFormat="false" ht="15" hidden="false" customHeight="false" outlineLevel="0" collapsed="false">
      <c r="A26" s="0" t="s">
        <v>421</v>
      </c>
      <c r="B26" s="0" t="s">
        <v>422</v>
      </c>
      <c r="C26" s="14" t="n">
        <f aca="false">CORREL('Main-Analytics'!$C$91:$K$91,'Main-Analytics'!$C$84:$K$84)</f>
        <v>-0.113555353913992</v>
      </c>
      <c r="D26" s="14" t="n">
        <f aca="false">CORREL('Main-Analytics'!$C$91:$K$91,'Main-Analytics'!$C$85:$K$85)</f>
        <v>0.256593459344532</v>
      </c>
      <c r="E26" s="14" t="n">
        <f aca="false">CORREL('Main-Analytics'!$C$91:$K$91,'Main-Analytics'!$C$86:$K$86)</f>
        <v>0.285827426728947</v>
      </c>
      <c r="F26" s="14" t="n">
        <f aca="false">CORREL('Main-Analytics'!$C$91:$K$91,'Main-Analytics'!$C$87:$K$87)</f>
        <v>0.759409711815834</v>
      </c>
      <c r="G26" s="14" t="n">
        <f aca="false">CORREL('Main-Analytics'!$C$91:$K$91,'Main-Analytics'!$C$88:$K$88)</f>
        <v>0.20186485085777</v>
      </c>
      <c r="H26" s="14" t="n">
        <f aca="false">CORREL('Main-Analytics'!$C$91:$K$91,'Main-Analytics'!$C$89:$K$89)</f>
        <v>0.281271960951392</v>
      </c>
      <c r="I26" s="14" t="n">
        <f aca="false">CORREL('Main-Analytics'!$C$91:$K$91,'Main-Analytics'!$C$90:$K$90)</f>
        <v>0.115717430700875</v>
      </c>
      <c r="J26" s="14" t="n">
        <f aca="false">CORREL('Main-Analytics'!$C$91:$K$91,'Main-Analytics'!$C$91:$K$91)</f>
        <v>1</v>
      </c>
      <c r="K26" s="14" t="n">
        <f aca="false">CORREL('Main-Analytics'!$C$91:$K$91,'Main-Analytics'!$C$92:$K$92)</f>
        <v>0.292311714329378</v>
      </c>
      <c r="L26" s="14" t="n">
        <f aca="false">CORREL('Main-Analytics'!$C$91:$K$91,'Main-Analytics'!$C$93:$K$93)</f>
        <v>0.331028008229898</v>
      </c>
    </row>
    <row r="27" customFormat="false" ht="15" hidden="false" customHeight="false" outlineLevel="0" collapsed="false">
      <c r="A27" s="0" t="s">
        <v>441</v>
      </c>
      <c r="B27" s="0" t="s">
        <v>442</v>
      </c>
      <c r="C27" s="14" t="n">
        <f aca="false">CORREL('Main-Analytics'!$C$92:$K$92,'Main-Analytics'!$C$84:$K$84)</f>
        <v>0.45485936368383</v>
      </c>
      <c r="D27" s="14" t="n">
        <f aca="false">CORREL('Main-Analytics'!$C$92:$K$92,'Main-Analytics'!$C$85:$K$85)</f>
        <v>0.770321351566859</v>
      </c>
      <c r="E27" s="14" t="n">
        <f aca="false">CORREL('Main-Analytics'!$C$92:$K$92,'Main-Analytics'!$C$86:$K$86)</f>
        <v>0.470633798870564</v>
      </c>
      <c r="F27" s="14" t="n">
        <f aca="false">CORREL('Main-Analytics'!$C$92:$K$92,'Main-Analytics'!$C$87:$K$87)</f>
        <v>0.771353735998275</v>
      </c>
      <c r="G27" s="14" t="n">
        <f aca="false">CORREL('Main-Analytics'!$C$92:$K$92,'Main-Analytics'!$C$88:$K$88)</f>
        <v>0.737916551397173</v>
      </c>
      <c r="H27" s="14" t="n">
        <f aca="false">CORREL('Main-Analytics'!$C$92:$K$92,'Main-Analytics'!$C$89:$K$89)</f>
        <v>0.840032871740429</v>
      </c>
      <c r="I27" s="14" t="n">
        <f aca="false">CORREL('Main-Analytics'!$C$92:$K$92,'Main-Analytics'!$C$90:$K$90)</f>
        <v>0.857949997425581</v>
      </c>
      <c r="J27" s="14" t="n">
        <f aca="false">CORREL('Main-Analytics'!$C$92:$K$92,'Main-Analytics'!$C$91:$K$91)</f>
        <v>0.292311714329378</v>
      </c>
      <c r="K27" s="14" t="n">
        <f aca="false">CORREL('Main-Analytics'!$C$92:$K$92,'Main-Analytics'!$C$92:$K$92)</f>
        <v>1</v>
      </c>
      <c r="L27" s="14" t="n">
        <f aca="false">CORREL('Main-Analytics'!$C$92:$K$92,'Main-Analytics'!$C$93:$K$93)</f>
        <v>-0.262944853868567</v>
      </c>
    </row>
    <row r="28" customFormat="false" ht="15" hidden="false" customHeight="false" outlineLevel="0" collapsed="false">
      <c r="A28" s="0" t="s">
        <v>459</v>
      </c>
      <c r="B28" s="0" t="s">
        <v>460</v>
      </c>
      <c r="C28" s="14" t="n">
        <f aca="false">CORREL('Main-Analytics'!$C$93:$K$93,'Main-Analytics'!$C$84:$K$84)</f>
        <v>0.00368869950442694</v>
      </c>
      <c r="D28" s="14" t="n">
        <f aca="false">CORREL('Main-Analytics'!$C$93:$K$93,'Main-Analytics'!$C$85:$K$85)</f>
        <v>-0.121811118613488</v>
      </c>
      <c r="E28" s="14" t="n">
        <f aca="false">CORREL('Main-Analytics'!$C$93:$K$93,'Main-Analytics'!$C$86:$K$86)</f>
        <v>0.304022707126363</v>
      </c>
      <c r="F28" s="14" t="n">
        <f aca="false">CORREL('Main-Analytics'!$C$93:$K$93,'Main-Analytics'!$C$87:$K$87)</f>
        <v>-0.0906310542393763</v>
      </c>
      <c r="G28" s="14" t="n">
        <f aca="false">CORREL('Main-Analytics'!$C$93:$K$93,'Main-Analytics'!$C$88:$K$88)</f>
        <v>-0.176210254310353</v>
      </c>
      <c r="H28" s="14" t="n">
        <f aca="false">CORREL('Main-Analytics'!$C$93:$K$93,'Main-Analytics'!$C$89:$K$89)</f>
        <v>-0.0871400101427655</v>
      </c>
      <c r="I28" s="14" t="n">
        <f aca="false">CORREL('Main-Analytics'!$C$93:$K$93,'Main-Analytics'!$C$90:$K$90)</f>
        <v>-0.224295925101899</v>
      </c>
      <c r="J28" s="14" t="n">
        <f aca="false">CORREL('Main-Analytics'!$C$93:$K$93,'Main-Analytics'!$C$91:$K$91)</f>
        <v>0.331028008229898</v>
      </c>
      <c r="K28" s="14" t="n">
        <f aca="false">CORREL('Main-Analytics'!$C$93:$K$93,'Main-Analytics'!$C$92:$K$92)</f>
        <v>-0.262944853868567</v>
      </c>
      <c r="L28" s="14" t="n">
        <f aca="false">CORREL('Main-Analytics'!$C$93:$K$93,'Main-Analytics'!$C$93:$K$93)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70"/>
    <col collapsed="false" customWidth="true" hidden="false" outlineLevel="0" max="11" min="11" style="0" width="13"/>
  </cols>
  <sheetData>
    <row r="1" customFormat="false" ht="16.15" hidden="false" customHeight="false" outlineLevel="0" collapsed="false">
      <c r="A1" s="2" t="s">
        <v>515</v>
      </c>
    </row>
    <row r="2" customFormat="false" ht="15" hidden="false" customHeight="false" outlineLevel="0" collapsed="false">
      <c r="A2" s="0" t="s">
        <v>516</v>
      </c>
    </row>
    <row r="4" customFormat="false" ht="16.15" hidden="false" customHeight="false" outlineLevel="0" collapsed="false">
      <c r="A4" s="2" t="s">
        <v>517</v>
      </c>
    </row>
    <row r="5" customFormat="false" ht="15" hidden="false" customHeight="false" outlineLevel="0" collapsed="false">
      <c r="A5" s="3" t="s">
        <v>311</v>
      </c>
      <c r="B5" s="3" t="s">
        <v>313</v>
      </c>
      <c r="C5" s="7" t="n">
        <v>2017</v>
      </c>
      <c r="D5" s="7" t="n">
        <v>2018</v>
      </c>
      <c r="E5" s="7" t="n">
        <v>2019</v>
      </c>
      <c r="F5" s="7" t="n">
        <v>2020</v>
      </c>
      <c r="G5" s="7" t="n">
        <v>2021</v>
      </c>
      <c r="H5" s="7" t="n">
        <v>2022</v>
      </c>
      <c r="I5" s="7" t="n">
        <v>2023</v>
      </c>
      <c r="J5" s="7" t="n">
        <v>2024</v>
      </c>
      <c r="K5" s="7" t="n">
        <v>2025</v>
      </c>
    </row>
    <row r="6" customFormat="false" ht="15" hidden="false" customHeight="false" outlineLevel="0" collapsed="false">
      <c r="A6" s="0" t="s">
        <v>315</v>
      </c>
      <c r="B6" s="0" t="s">
        <v>317</v>
      </c>
      <c r="C6" s="8" t="n">
        <f aca="false">'Export-dataset'!B5-'Export-dataset'!B4</f>
        <v>3975</v>
      </c>
      <c r="D6" s="8" t="n">
        <f aca="false">'Export-dataset'!B6-'Export-dataset'!B5</f>
        <v>-1325</v>
      </c>
      <c r="E6" s="8" t="n">
        <f aca="false">'Export-dataset'!B7-'Export-dataset'!B6</f>
        <v>2378</v>
      </c>
      <c r="F6" s="8" t="n">
        <f aca="false">'Export-dataset'!B8-'Export-dataset'!B7</f>
        <v>-2021</v>
      </c>
      <c r="G6" s="8" t="n">
        <f aca="false">'Export-dataset'!B9-'Export-dataset'!B8</f>
        <v>7912</v>
      </c>
      <c r="H6" s="8" t="n">
        <f aca="false">'Export-dataset'!B10-'Export-dataset'!B9</f>
        <v>9582</v>
      </c>
      <c r="I6" s="8" t="n">
        <f aca="false">'Export-dataset'!B11-'Export-dataset'!B10</f>
        <v>1627</v>
      </c>
      <c r="J6" s="8" t="n">
        <f aca="false">'Export-dataset'!B12-'Export-dataset'!B11</f>
        <v>-2187</v>
      </c>
      <c r="K6" s="8" t="n">
        <f aca="false">'Export-dataset'!B13-'Export-dataset'!B12</f>
        <v>9481</v>
      </c>
    </row>
    <row r="7" customFormat="false" ht="15" hidden="false" customHeight="false" outlineLevel="0" collapsed="false">
      <c r="A7" s="0" t="s">
        <v>339</v>
      </c>
      <c r="B7" s="0" t="s">
        <v>340</v>
      </c>
      <c r="C7" s="8" t="n">
        <f aca="false">'Export-dataset'!M5-'Export-dataset'!M4</f>
        <v>352</v>
      </c>
      <c r="D7" s="8" t="n">
        <f aca="false">'Export-dataset'!M6-'Export-dataset'!M5</f>
        <v>346</v>
      </c>
      <c r="E7" s="8" t="n">
        <f aca="false">'Export-dataset'!M7-'Export-dataset'!M6</f>
        <v>205</v>
      </c>
      <c r="F7" s="8" t="n">
        <f aca="false">'Export-dataset'!M8-'Export-dataset'!M7</f>
        <v>-299</v>
      </c>
      <c r="G7" s="8" t="n">
        <f aca="false">'Export-dataset'!M9-'Export-dataset'!M8</f>
        <v>-760</v>
      </c>
      <c r="H7" s="8" t="n">
        <f aca="false">'Export-dataset'!M10-'Export-dataset'!M9</f>
        <v>49</v>
      </c>
      <c r="I7" s="8" t="n">
        <f aca="false">'Export-dataset'!M11-'Export-dataset'!M10</f>
        <v>-24</v>
      </c>
      <c r="J7" s="8" t="n">
        <f aca="false">'Export-dataset'!M12-'Export-dataset'!M11</f>
        <v>631</v>
      </c>
      <c r="K7" s="8" t="n">
        <f aca="false">'Export-dataset'!M13-'Export-dataset'!M12</f>
        <v>-113</v>
      </c>
    </row>
    <row r="8" customFormat="false" ht="15" hidden="false" customHeight="false" outlineLevel="0" collapsed="false">
      <c r="A8" s="0" t="s">
        <v>345</v>
      </c>
      <c r="B8" s="0" t="s">
        <v>346</v>
      </c>
      <c r="C8" s="8" t="n">
        <f aca="false">'Export-dataset'!P5-'Export-dataset'!P4</f>
        <v>15852</v>
      </c>
      <c r="D8" s="8" t="n">
        <f aca="false">'Export-dataset'!P6-'Export-dataset'!P5</f>
        <v>7406</v>
      </c>
      <c r="E8" s="8" t="n">
        <f aca="false">'Export-dataset'!P7-'Export-dataset'!P6</f>
        <v>29536</v>
      </c>
      <c r="F8" s="8" t="n">
        <f aca="false">'Export-dataset'!P8-'Export-dataset'!P7</f>
        <v>15553</v>
      </c>
      <c r="G8" s="8" t="n">
        <f aca="false">'Export-dataset'!P9-'Export-dataset'!P8</f>
        <v>46211</v>
      </c>
      <c r="H8" s="8" t="n">
        <f aca="false">'Export-dataset'!P10-'Export-dataset'!P9</f>
        <v>-9883</v>
      </c>
      <c r="I8" s="8" t="n">
        <f aca="false">'Export-dataset'!P11-'Export-dataset'!P10</f>
        <v>14665</v>
      </c>
      <c r="J8" s="8" t="n">
        <f aca="false">'Export-dataset'!P12-'Export-dataset'!P11</f>
        <v>-23373</v>
      </c>
      <c r="K8" s="8" t="n">
        <f aca="false">'Export-dataset'!P13-'Export-dataset'!P12</f>
        <v>1063</v>
      </c>
    </row>
    <row r="9" customFormat="false" ht="15" hidden="false" customHeight="false" outlineLevel="0" collapsed="false">
      <c r="A9" s="0" t="s">
        <v>365</v>
      </c>
      <c r="B9" s="0" t="s">
        <v>366</v>
      </c>
      <c r="C9" s="8" t="n">
        <f aca="false">'Export-dataset'!Z5-'Export-dataset'!Z4</f>
        <v>23447</v>
      </c>
      <c r="D9" s="8" t="n">
        <f aca="false">'Export-dataset'!Z6-'Export-dataset'!Z5</f>
        <v>31120</v>
      </c>
      <c r="E9" s="8" t="n">
        <f aca="false">'Export-dataset'!Z7-'Export-dataset'!Z6</f>
        <v>4019</v>
      </c>
      <c r="F9" s="8" t="n">
        <f aca="false">'Export-dataset'!Z8-'Export-dataset'!Z7</f>
        <v>-37467</v>
      </c>
      <c r="G9" s="8" t="n">
        <f aca="false">'Export-dataset'!Z9-'Export-dataset'!Z8</f>
        <v>37574</v>
      </c>
      <c r="H9" s="8" t="n">
        <f aca="false">'Export-dataset'!Z10-'Export-dataset'!Z9</f>
        <v>124939</v>
      </c>
      <c r="I9" s="8" t="n">
        <f aca="false">'Export-dataset'!Z11-'Export-dataset'!Z10</f>
        <v>-55785</v>
      </c>
      <c r="J9" s="8" t="n">
        <f aca="false">'Export-dataset'!Z12-'Export-dataset'!Z11</f>
        <v>-24707</v>
      </c>
      <c r="K9" s="8" t="n">
        <f aca="false">'Export-dataset'!Z13-'Export-dataset'!Z12</f>
        <v>-30661</v>
      </c>
    </row>
    <row r="10" customFormat="false" ht="15" hidden="false" customHeight="false" outlineLevel="0" collapsed="false">
      <c r="A10" s="0" t="s">
        <v>373</v>
      </c>
      <c r="B10" s="0" t="s">
        <v>374</v>
      </c>
      <c r="C10" s="8" t="n">
        <f aca="false">'Export-dataset'!AD5-'Export-dataset'!AD4</f>
        <v>5</v>
      </c>
      <c r="D10" s="8" t="n">
        <f aca="false">'Export-dataset'!AD6-'Export-dataset'!AD5</f>
        <v>-17</v>
      </c>
      <c r="E10" s="8" t="n">
        <f aca="false">'Export-dataset'!AD7-'Export-dataset'!AD6</f>
        <v>-16</v>
      </c>
      <c r="F10" s="8" t="n">
        <f aca="false">'Export-dataset'!AD8-'Export-dataset'!AD7</f>
        <v>114</v>
      </c>
      <c r="G10" s="8" t="n">
        <f aca="false">'Export-dataset'!AD9-'Export-dataset'!AD8</f>
        <v>324</v>
      </c>
      <c r="H10" s="8" t="n">
        <f aca="false">'Export-dataset'!AD10-'Export-dataset'!AD9</f>
        <v>597</v>
      </c>
      <c r="I10" s="8" t="n">
        <f aca="false">'Export-dataset'!AD11-'Export-dataset'!AD10</f>
        <v>-73</v>
      </c>
      <c r="J10" s="8" t="n">
        <f aca="false">'Export-dataset'!AD12-'Export-dataset'!AD11</f>
        <v>-212</v>
      </c>
      <c r="K10" s="8" t="n">
        <f aca="false">'Export-dataset'!AD13-'Export-dataset'!AD12</f>
        <v>409</v>
      </c>
    </row>
    <row r="11" customFormat="false" ht="15" hidden="false" customHeight="false" outlineLevel="0" collapsed="false">
      <c r="A11" s="0" t="s">
        <v>381</v>
      </c>
      <c r="B11" s="0" t="s">
        <v>382</v>
      </c>
      <c r="C11" s="8" t="n">
        <f aca="false">'Export-dataset'!AH5-'Export-dataset'!AH4</f>
        <v>276</v>
      </c>
      <c r="D11" s="8" t="n">
        <f aca="false">'Export-dataset'!AH6-'Export-dataset'!AH5</f>
        <v>1867</v>
      </c>
      <c r="E11" s="8" t="n">
        <f aca="false">'Export-dataset'!AH7-'Export-dataset'!AH6</f>
        <v>1461</v>
      </c>
      <c r="F11" s="8" t="n">
        <f aca="false">'Export-dataset'!AH8-'Export-dataset'!AH7</f>
        <v>-879</v>
      </c>
      <c r="G11" s="8" t="n">
        <f aca="false">'Export-dataset'!AH9-'Export-dataset'!AH8</f>
        <v>-1040</v>
      </c>
      <c r="H11" s="8" t="n">
        <f aca="false">'Export-dataset'!AH10-'Export-dataset'!AH9</f>
        <v>2523</v>
      </c>
      <c r="I11" s="8" t="n">
        <f aca="false">'Export-dataset'!AH11-'Export-dataset'!AH10</f>
        <v>-1091</v>
      </c>
      <c r="J11" s="8" t="n">
        <f aca="false">'Export-dataset'!AH12-'Export-dataset'!AH11</f>
        <v>788</v>
      </c>
      <c r="K11" s="8" t="n">
        <f aca="false">'Export-dataset'!AH13-'Export-dataset'!AH12</f>
        <v>-131</v>
      </c>
    </row>
    <row r="12" customFormat="false" ht="15" hidden="false" customHeight="false" outlineLevel="0" collapsed="false">
      <c r="A12" s="0" t="s">
        <v>401</v>
      </c>
      <c r="B12" s="0" t="s">
        <v>402</v>
      </c>
      <c r="C12" s="8" t="n">
        <f aca="false">'Export-dataset'!AR5-'Export-dataset'!AR4</f>
        <v>1343</v>
      </c>
      <c r="D12" s="8" t="n">
        <f aca="false">'Export-dataset'!AR6-'Export-dataset'!AR5</f>
        <v>2282</v>
      </c>
      <c r="E12" s="8" t="n">
        <f aca="false">'Export-dataset'!AR7-'Export-dataset'!AR6</f>
        <v>536</v>
      </c>
      <c r="F12" s="8" t="n">
        <f aca="false">'Export-dataset'!AR8-'Export-dataset'!AR7</f>
        <v>-2859</v>
      </c>
      <c r="G12" s="8" t="n">
        <f aca="false">'Export-dataset'!AR9-'Export-dataset'!AR8</f>
        <v>1995</v>
      </c>
      <c r="H12" s="8" t="n">
        <f aca="false">'Export-dataset'!AR10-'Export-dataset'!AR9</f>
        <v>2728</v>
      </c>
      <c r="I12" s="8" t="n">
        <f aca="false">'Export-dataset'!AR11-'Export-dataset'!AR10</f>
        <v>-74</v>
      </c>
      <c r="J12" s="8" t="n">
        <f aca="false">'Export-dataset'!AR12-'Export-dataset'!AR11</f>
        <v>1158</v>
      </c>
      <c r="K12" s="8" t="n">
        <f aca="false">'Export-dataset'!AR13-'Export-dataset'!AR12</f>
        <v>2204</v>
      </c>
    </row>
    <row r="13" customFormat="false" ht="15" hidden="false" customHeight="false" outlineLevel="0" collapsed="false">
      <c r="A13" s="0" t="s">
        <v>421</v>
      </c>
      <c r="B13" s="0" t="s">
        <v>422</v>
      </c>
      <c r="C13" s="8" t="n">
        <f aca="false">'Export-dataset'!BB5-'Export-dataset'!BB4</f>
        <v>-749</v>
      </c>
      <c r="D13" s="8" t="n">
        <f aca="false">'Export-dataset'!BB6-'Export-dataset'!BB5</f>
        <v>714</v>
      </c>
      <c r="E13" s="8" t="n">
        <f aca="false">'Export-dataset'!BB7-'Export-dataset'!BB6</f>
        <v>1640</v>
      </c>
      <c r="F13" s="8" t="n">
        <f aca="false">'Export-dataset'!BB8-'Export-dataset'!BB7</f>
        <v>-2314</v>
      </c>
      <c r="G13" s="8" t="n">
        <f aca="false">'Export-dataset'!BB9-'Export-dataset'!BB8</f>
        <v>50</v>
      </c>
      <c r="H13" s="8" t="n">
        <f aca="false">'Export-dataset'!BB10-'Export-dataset'!BB9</f>
        <v>1788</v>
      </c>
      <c r="I13" s="8" t="n">
        <f aca="false">'Export-dataset'!BB11-'Export-dataset'!BB10</f>
        <v>2088</v>
      </c>
      <c r="J13" s="8" t="n">
        <f aca="false">'Export-dataset'!BB12-'Export-dataset'!BB11</f>
        <v>1880</v>
      </c>
      <c r="K13" s="8" t="n">
        <f aca="false">'Export-dataset'!BB13-'Export-dataset'!BB12</f>
        <v>1726</v>
      </c>
    </row>
    <row r="14" customFormat="false" ht="15" hidden="false" customHeight="false" outlineLevel="0" collapsed="false">
      <c r="A14" s="0" t="s">
        <v>441</v>
      </c>
      <c r="B14" s="0" t="s">
        <v>442</v>
      </c>
      <c r="C14" s="8" t="n">
        <f aca="false">'Export-dataset'!BL5-'Export-dataset'!BL4</f>
        <v>299</v>
      </c>
      <c r="D14" s="8" t="n">
        <f aca="false">'Export-dataset'!BL6-'Export-dataset'!BL5</f>
        <v>431</v>
      </c>
      <c r="E14" s="8" t="n">
        <f aca="false">'Export-dataset'!BL7-'Export-dataset'!BL6</f>
        <v>920</v>
      </c>
      <c r="F14" s="8" t="n">
        <f aca="false">'Export-dataset'!BL8-'Export-dataset'!BL7</f>
        <v>-832</v>
      </c>
      <c r="G14" s="8" t="n">
        <f aca="false">'Export-dataset'!BL9-'Export-dataset'!BL8</f>
        <v>660</v>
      </c>
      <c r="H14" s="8" t="n">
        <f aca="false">'Export-dataset'!BL10-'Export-dataset'!BL9</f>
        <v>1041</v>
      </c>
      <c r="I14" s="8" t="n">
        <f aca="false">'Export-dataset'!BL11-'Export-dataset'!BL10</f>
        <v>1440</v>
      </c>
      <c r="J14" s="8" t="n">
        <f aca="false">'Export-dataset'!BL12-'Export-dataset'!BL11</f>
        <v>457</v>
      </c>
      <c r="K14" s="8" t="n">
        <f aca="false">'Export-dataset'!BL13-'Export-dataset'!BL12</f>
        <v>889</v>
      </c>
    </row>
    <row r="15" customFormat="false" ht="15" hidden="false" customHeight="false" outlineLevel="0" collapsed="false">
      <c r="A15" s="0" t="s">
        <v>459</v>
      </c>
      <c r="B15" s="0" t="s">
        <v>460</v>
      </c>
      <c r="C15" s="8" t="n">
        <f aca="false">'Export-dataset'!BU5-'Export-dataset'!BU4</f>
        <v>-1929</v>
      </c>
      <c r="D15" s="8" t="n">
        <f aca="false">'Export-dataset'!BU6-'Export-dataset'!BU5</f>
        <v>452</v>
      </c>
      <c r="E15" s="8" t="n">
        <f aca="false">'Export-dataset'!BU7-'Export-dataset'!BU6</f>
        <v>4686</v>
      </c>
      <c r="F15" s="8" t="n">
        <f aca="false">'Export-dataset'!BU8-'Export-dataset'!BU7</f>
        <v>3747</v>
      </c>
      <c r="G15" s="8" t="n">
        <f aca="false">'Export-dataset'!BU9-'Export-dataset'!BU8</f>
        <v>2525</v>
      </c>
      <c r="H15" s="8" t="n">
        <f aca="false">'Export-dataset'!BU10-'Export-dataset'!BU9</f>
        <v>2322</v>
      </c>
      <c r="I15" s="8" t="n">
        <f aca="false">'Export-dataset'!BU11-'Export-dataset'!BU10</f>
        <v>1992</v>
      </c>
      <c r="J15" s="8" t="n">
        <f aca="false">'Export-dataset'!BU12-'Export-dataset'!BU11</f>
        <v>3922</v>
      </c>
      <c r="K15" s="8" t="n">
        <f aca="false">'Export-dataset'!BU13-'Export-dataset'!BU12</f>
        <v>21245</v>
      </c>
    </row>
    <row r="17" customFormat="false" ht="16.15" hidden="false" customHeight="false" outlineLevel="0" collapsed="false">
      <c r="A17" s="2" t="s">
        <v>518</v>
      </c>
    </row>
    <row r="18" customFormat="false" ht="15" hidden="false" customHeight="false" outlineLevel="0" collapsed="false">
      <c r="A18" s="3" t="s">
        <v>311</v>
      </c>
      <c r="B18" s="3" t="s">
        <v>313</v>
      </c>
      <c r="C18" s="7" t="n">
        <v>2017</v>
      </c>
      <c r="D18" s="7" t="n">
        <v>2018</v>
      </c>
      <c r="E18" s="7" t="n">
        <v>2019</v>
      </c>
      <c r="F18" s="7" t="n">
        <v>2020</v>
      </c>
      <c r="G18" s="7" t="n">
        <v>2021</v>
      </c>
      <c r="H18" s="7" t="n">
        <v>2022</v>
      </c>
      <c r="I18" s="7" t="n">
        <v>2023</v>
      </c>
      <c r="J18" s="7" t="n">
        <v>2024</v>
      </c>
      <c r="K18" s="7" t="n">
        <v>2025</v>
      </c>
    </row>
    <row r="19" customFormat="false" ht="15" hidden="false" customHeight="false" outlineLevel="0" collapsed="false">
      <c r="A19" s="0" t="s">
        <v>315</v>
      </c>
      <c r="B19" s="0" t="s">
        <v>317</v>
      </c>
      <c r="C19" s="8" t="n">
        <f aca="false">'Import-dataset'!B5-'Import-dataset'!B4</f>
        <v>327</v>
      </c>
      <c r="D19" s="8" t="n">
        <f aca="false">'Import-dataset'!B6-'Import-dataset'!B5</f>
        <v>828</v>
      </c>
      <c r="E19" s="8" t="n">
        <f aca="false">'Import-dataset'!B7-'Import-dataset'!B6</f>
        <v>1806</v>
      </c>
      <c r="F19" s="8" t="n">
        <f aca="false">'Import-dataset'!B8-'Import-dataset'!B7</f>
        <v>669</v>
      </c>
      <c r="G19" s="8" t="n">
        <f aca="false">'Import-dataset'!B9-'Import-dataset'!B8</f>
        <v>-1197</v>
      </c>
      <c r="H19" s="8" t="n">
        <f aca="false">'Import-dataset'!B10-'Import-dataset'!B9</f>
        <v>3108</v>
      </c>
      <c r="I19" s="8" t="n">
        <f aca="false">'Import-dataset'!B11-'Import-dataset'!B10</f>
        <v>166</v>
      </c>
      <c r="J19" s="8" t="n">
        <f aca="false">'Import-dataset'!B12-'Import-dataset'!B11</f>
        <v>2609</v>
      </c>
      <c r="K19" s="8" t="n">
        <f aca="false">'Import-dataset'!B13-'Import-dataset'!B12</f>
        <v>2222</v>
      </c>
    </row>
    <row r="20" customFormat="false" ht="15" hidden="false" customHeight="false" outlineLevel="0" collapsed="false">
      <c r="A20" s="0" t="s">
        <v>339</v>
      </c>
      <c r="B20" s="0" t="s">
        <v>340</v>
      </c>
      <c r="C20" s="8" t="n">
        <f aca="false">'Import-dataset'!M5-'Import-dataset'!M4</f>
        <v>14</v>
      </c>
      <c r="D20" s="8" t="n">
        <f aca="false">'Import-dataset'!M6-'Import-dataset'!M5</f>
        <v>256</v>
      </c>
      <c r="E20" s="8" t="n">
        <f aca="false">'Import-dataset'!M7-'Import-dataset'!M6</f>
        <v>257</v>
      </c>
      <c r="F20" s="8" t="n">
        <f aca="false">'Import-dataset'!M8-'Import-dataset'!M7</f>
        <v>-323</v>
      </c>
      <c r="G20" s="8" t="n">
        <f aca="false">'Import-dataset'!M9-'Import-dataset'!M8</f>
        <v>-26</v>
      </c>
      <c r="H20" s="8" t="n">
        <f aca="false">'Import-dataset'!M10-'Import-dataset'!M9</f>
        <v>401</v>
      </c>
      <c r="I20" s="8" t="n">
        <f aca="false">'Import-dataset'!M11-'Import-dataset'!M10</f>
        <v>-332</v>
      </c>
      <c r="J20" s="8" t="n">
        <f aca="false">'Import-dataset'!M12-'Import-dataset'!M11</f>
        <v>-169</v>
      </c>
      <c r="K20" s="8" t="n">
        <f aca="false">'Import-dataset'!M13-'Import-dataset'!M12</f>
        <v>29</v>
      </c>
    </row>
    <row r="21" customFormat="false" ht="15" hidden="false" customHeight="false" outlineLevel="0" collapsed="false">
      <c r="A21" s="0" t="s">
        <v>345</v>
      </c>
      <c r="B21" s="0" t="s">
        <v>346</v>
      </c>
      <c r="C21" s="8" t="n">
        <f aca="false">'Import-dataset'!P5-'Import-dataset'!P4</f>
        <v>338</v>
      </c>
      <c r="D21" s="8" t="n">
        <f aca="false">'Import-dataset'!P6-'Import-dataset'!P5</f>
        <v>441</v>
      </c>
      <c r="E21" s="8" t="n">
        <f aca="false">'Import-dataset'!P7-'Import-dataset'!P6</f>
        <v>-847</v>
      </c>
      <c r="F21" s="8" t="n">
        <f aca="false">'Import-dataset'!P8-'Import-dataset'!P7</f>
        <v>119</v>
      </c>
      <c r="G21" s="8" t="n">
        <f aca="false">'Import-dataset'!P9-'Import-dataset'!P8</f>
        <v>990</v>
      </c>
      <c r="H21" s="8" t="n">
        <f aca="false">'Import-dataset'!P10-'Import-dataset'!P9</f>
        <v>406</v>
      </c>
      <c r="I21" s="8" t="n">
        <f aca="false">'Import-dataset'!P11-'Import-dataset'!P10</f>
        <v>-722</v>
      </c>
      <c r="J21" s="8" t="n">
        <f aca="false">'Import-dataset'!P12-'Import-dataset'!P11</f>
        <v>188</v>
      </c>
      <c r="K21" s="8" t="n">
        <f aca="false">'Import-dataset'!P13-'Import-dataset'!P12</f>
        <v>1166</v>
      </c>
    </row>
    <row r="22" customFormat="false" ht="15" hidden="false" customHeight="false" outlineLevel="0" collapsed="false">
      <c r="A22" s="0" t="s">
        <v>365</v>
      </c>
      <c r="B22" s="0" t="s">
        <v>366</v>
      </c>
      <c r="C22" s="8" t="n">
        <f aca="false">'Import-dataset'!Z5-'Import-dataset'!Z4</f>
        <v>6201</v>
      </c>
      <c r="D22" s="8" t="n">
        <f aca="false">'Import-dataset'!Z6-'Import-dataset'!Z5</f>
        <v>10707</v>
      </c>
      <c r="E22" s="8" t="n">
        <f aca="false">'Import-dataset'!Z7-'Import-dataset'!Z6</f>
        <v>-1718</v>
      </c>
      <c r="F22" s="8" t="n">
        <f aca="false">'Import-dataset'!Z8-'Import-dataset'!Z7</f>
        <v>-15686</v>
      </c>
      <c r="G22" s="8" t="n">
        <f aca="false">'Import-dataset'!Z9-'Import-dataset'!Z8</f>
        <v>11444</v>
      </c>
      <c r="H22" s="8" t="n">
        <f aca="false">'Import-dataset'!Z10-'Import-dataset'!Z9</f>
        <v>31254</v>
      </c>
      <c r="I22" s="8" t="n">
        <f aca="false">'Import-dataset'!Z11-'Import-dataset'!Z10</f>
        <v>-5155</v>
      </c>
      <c r="J22" s="8" t="n">
        <f aca="false">'Import-dataset'!Z12-'Import-dataset'!Z11</f>
        <v>-3902</v>
      </c>
      <c r="K22" s="8" t="n">
        <f aca="false">'Import-dataset'!Z13-'Import-dataset'!Z12</f>
        <v>-3491</v>
      </c>
    </row>
    <row r="23" customFormat="false" ht="15" hidden="false" customHeight="false" outlineLevel="0" collapsed="false">
      <c r="A23" s="0" t="s">
        <v>373</v>
      </c>
      <c r="B23" s="0" t="s">
        <v>374</v>
      </c>
      <c r="C23" s="8" t="n">
        <f aca="false">'Import-dataset'!AD5-'Import-dataset'!AD4</f>
        <v>2</v>
      </c>
      <c r="D23" s="8" t="n">
        <f aca="false">'Import-dataset'!AD6-'Import-dataset'!AD5</f>
        <v>54</v>
      </c>
      <c r="E23" s="8" t="n">
        <f aca="false">'Import-dataset'!AD7-'Import-dataset'!AD6</f>
        <v>-31</v>
      </c>
      <c r="F23" s="8" t="n">
        <f aca="false">'Import-dataset'!AD8-'Import-dataset'!AD7</f>
        <v>41</v>
      </c>
      <c r="G23" s="8" t="n">
        <f aca="false">'Import-dataset'!AD9-'Import-dataset'!AD8</f>
        <v>65</v>
      </c>
      <c r="H23" s="8" t="n">
        <f aca="false">'Import-dataset'!AD10-'Import-dataset'!AD9</f>
        <v>263</v>
      </c>
      <c r="I23" s="8" t="n">
        <f aca="false">'Import-dataset'!AD11-'Import-dataset'!AD10</f>
        <v>-106</v>
      </c>
      <c r="J23" s="8" t="n">
        <f aca="false">'Import-dataset'!AD12-'Import-dataset'!AD11</f>
        <v>269</v>
      </c>
      <c r="K23" s="8" t="n">
        <f aca="false">'Import-dataset'!AD13-'Import-dataset'!AD12</f>
        <v>25</v>
      </c>
    </row>
    <row r="24" customFormat="false" ht="15" hidden="false" customHeight="false" outlineLevel="0" collapsed="false">
      <c r="A24" s="0" t="s">
        <v>381</v>
      </c>
      <c r="B24" s="0" t="s">
        <v>382</v>
      </c>
      <c r="C24" s="8" t="n">
        <f aca="false">'Import-dataset'!AH5-'Import-dataset'!AH4</f>
        <v>349</v>
      </c>
      <c r="D24" s="8" t="n">
        <f aca="false">'Import-dataset'!AH6-'Import-dataset'!AH5</f>
        <v>1783</v>
      </c>
      <c r="E24" s="8" t="n">
        <f aca="false">'Import-dataset'!AH7-'Import-dataset'!AH6</f>
        <v>1187</v>
      </c>
      <c r="F24" s="8" t="n">
        <f aca="false">'Import-dataset'!AH8-'Import-dataset'!AH7</f>
        <v>2267</v>
      </c>
      <c r="G24" s="8" t="n">
        <f aca="false">'Import-dataset'!AH9-'Import-dataset'!AH8</f>
        <v>3730</v>
      </c>
      <c r="H24" s="8" t="n">
        <f aca="false">'Import-dataset'!AH10-'Import-dataset'!AH9</f>
        <v>14372</v>
      </c>
      <c r="I24" s="8" t="n">
        <f aca="false">'Import-dataset'!AH11-'Import-dataset'!AH10</f>
        <v>-8562</v>
      </c>
      <c r="J24" s="8" t="n">
        <f aca="false">'Import-dataset'!AH12-'Import-dataset'!AH11</f>
        <v>2201</v>
      </c>
      <c r="K24" s="8" t="n">
        <f aca="false">'Import-dataset'!AH13-'Import-dataset'!AH12</f>
        <v>2643</v>
      </c>
    </row>
    <row r="25" customFormat="false" ht="15" hidden="false" customHeight="false" outlineLevel="0" collapsed="false">
      <c r="A25" s="0" t="s">
        <v>401</v>
      </c>
      <c r="B25" s="0" t="s">
        <v>402</v>
      </c>
      <c r="C25" s="8" t="n">
        <f aca="false">'Import-dataset'!AR5-'Import-dataset'!AR4</f>
        <v>478</v>
      </c>
      <c r="D25" s="8" t="n">
        <f aca="false">'Import-dataset'!AR6-'Import-dataset'!AR5</f>
        <v>3742</v>
      </c>
      <c r="E25" s="8" t="n">
        <f aca="false">'Import-dataset'!AR7-'Import-dataset'!AR6</f>
        <v>-157</v>
      </c>
      <c r="F25" s="8" t="n">
        <f aca="false">'Import-dataset'!AR8-'Import-dataset'!AR7</f>
        <v>2113</v>
      </c>
      <c r="G25" s="8" t="n">
        <f aca="false">'Import-dataset'!AR9-'Import-dataset'!AR8</f>
        <v>2578</v>
      </c>
      <c r="H25" s="8" t="n">
        <f aca="false">'Import-dataset'!AR10-'Import-dataset'!AR9</f>
        <v>7044</v>
      </c>
      <c r="I25" s="8" t="n">
        <f aca="false">'Import-dataset'!AR11-'Import-dataset'!AR10</f>
        <v>-3381</v>
      </c>
      <c r="J25" s="8" t="n">
        <f aca="false">'Import-dataset'!AR12-'Import-dataset'!AR11</f>
        <v>2971</v>
      </c>
      <c r="K25" s="8" t="n">
        <f aca="false">'Import-dataset'!AR13-'Import-dataset'!AR12</f>
        <v>2261</v>
      </c>
    </row>
    <row r="26" customFormat="false" ht="15" hidden="false" customHeight="false" outlineLevel="0" collapsed="false">
      <c r="A26" s="0" t="s">
        <v>421</v>
      </c>
      <c r="B26" s="0" t="s">
        <v>422</v>
      </c>
      <c r="C26" s="8" t="n">
        <f aca="false">'Import-dataset'!BB5-'Import-dataset'!BB4</f>
        <v>14601</v>
      </c>
      <c r="D26" s="8" t="n">
        <f aca="false">'Import-dataset'!BB6-'Import-dataset'!BB5</f>
        <v>3471</v>
      </c>
      <c r="E26" s="8" t="n">
        <f aca="false">'Import-dataset'!BB7-'Import-dataset'!BB6</f>
        <v>1882</v>
      </c>
      <c r="F26" s="8" t="n">
        <f aca="false">'Import-dataset'!BB8-'Import-dataset'!BB7</f>
        <v>-3540</v>
      </c>
      <c r="G26" s="8" t="n">
        <f aca="false">'Import-dataset'!BB9-'Import-dataset'!BB8</f>
        <v>15659</v>
      </c>
      <c r="H26" s="8" t="n">
        <f aca="false">'Import-dataset'!BB10-'Import-dataset'!BB9</f>
        <v>21495</v>
      </c>
      <c r="I26" s="8" t="n">
        <f aca="false">'Import-dataset'!BB11-'Import-dataset'!BB10</f>
        <v>16455</v>
      </c>
      <c r="J26" s="8" t="n">
        <f aca="false">'Import-dataset'!BB12-'Import-dataset'!BB11</f>
        <v>7331</v>
      </c>
      <c r="K26" s="8" t="n">
        <f aca="false">'Import-dataset'!BB13-'Import-dataset'!BB12</f>
        <v>10270</v>
      </c>
    </row>
    <row r="27" customFormat="false" ht="15" hidden="false" customHeight="false" outlineLevel="0" collapsed="false">
      <c r="A27" s="0" t="s">
        <v>441</v>
      </c>
      <c r="B27" s="0" t="s">
        <v>442</v>
      </c>
      <c r="C27" s="8" t="n">
        <f aca="false">'Import-dataset'!BL5-'Import-dataset'!BL4</f>
        <v>206</v>
      </c>
      <c r="D27" s="8" t="n">
        <f aca="false">'Import-dataset'!BL6-'Import-dataset'!BL5</f>
        <v>3728</v>
      </c>
      <c r="E27" s="8" t="n">
        <f aca="false">'Import-dataset'!BL7-'Import-dataset'!BL6</f>
        <v>2009</v>
      </c>
      <c r="F27" s="8" t="n">
        <f aca="false">'Import-dataset'!BL8-'Import-dataset'!BL7</f>
        <v>-270</v>
      </c>
      <c r="G27" s="8" t="n">
        <f aca="false">'Import-dataset'!BL9-'Import-dataset'!BL8</f>
        <v>4093</v>
      </c>
      <c r="H27" s="8" t="n">
        <f aca="false">'Import-dataset'!BL10-'Import-dataset'!BL9</f>
        <v>7345</v>
      </c>
      <c r="I27" s="8" t="n">
        <f aca="false">'Import-dataset'!BL11-'Import-dataset'!BL10</f>
        <v>-1778</v>
      </c>
      <c r="J27" s="8" t="n">
        <f aca="false">'Import-dataset'!BL12-'Import-dataset'!BL11</f>
        <v>3612</v>
      </c>
      <c r="K27" s="8" t="n">
        <f aca="false">'Import-dataset'!BL13-'Import-dataset'!BL12</f>
        <v>3718</v>
      </c>
    </row>
    <row r="28" customFormat="false" ht="15" hidden="false" customHeight="false" outlineLevel="0" collapsed="false">
      <c r="A28" s="0" t="s">
        <v>459</v>
      </c>
      <c r="B28" s="0" t="s">
        <v>460</v>
      </c>
      <c r="C28" s="8" t="n">
        <f aca="false">'Import-dataset'!BU5-'Import-dataset'!BU4</f>
        <v>11435</v>
      </c>
      <c r="D28" s="8" t="n">
        <f aca="false">'Import-dataset'!BU6-'Import-dataset'!BU5</f>
        <v>-9257</v>
      </c>
      <c r="E28" s="8" t="n">
        <f aca="false">'Import-dataset'!BU7-'Import-dataset'!BU6</f>
        <v>-889</v>
      </c>
      <c r="F28" s="8" t="n">
        <f aca="false">'Import-dataset'!BU8-'Import-dataset'!BU7</f>
        <v>663</v>
      </c>
      <c r="G28" s="8" t="n">
        <f aca="false">'Import-dataset'!BU9-'Import-dataset'!BU8</f>
        <v>-703</v>
      </c>
      <c r="H28" s="8" t="n">
        <f aca="false">'Import-dataset'!BU10-'Import-dataset'!BU9</f>
        <v>1081</v>
      </c>
      <c r="I28" s="8" t="n">
        <f aca="false">'Import-dataset'!BU11-'Import-dataset'!BU10</f>
        <v>283</v>
      </c>
      <c r="J28" s="8" t="n">
        <f aca="false">'Import-dataset'!BU12-'Import-dataset'!BU11</f>
        <v>895</v>
      </c>
      <c r="K28" s="8" t="n">
        <f aca="false">'Import-dataset'!BU13-'Import-dataset'!BU12</f>
        <v>12152</v>
      </c>
    </row>
    <row r="30" customFormat="false" ht="16.15" hidden="false" customHeight="false" outlineLevel="0" collapsed="false">
      <c r="A30" s="2" t="s">
        <v>519</v>
      </c>
    </row>
    <row r="31" customFormat="false" ht="28.35" hidden="false" customHeight="false" outlineLevel="0" collapsed="false">
      <c r="A31" s="15" t="s">
        <v>59</v>
      </c>
      <c r="B31" s="15" t="s">
        <v>520</v>
      </c>
      <c r="C31" s="15" t="s">
        <v>521</v>
      </c>
      <c r="D31" s="15" t="s">
        <v>522</v>
      </c>
      <c r="E31" s="15" t="s">
        <v>523</v>
      </c>
      <c r="F31" s="15" t="s">
        <v>524</v>
      </c>
      <c r="G31" s="15" t="s">
        <v>525</v>
      </c>
      <c r="H31" s="15" t="s">
        <v>526</v>
      </c>
      <c r="I31" s="15" t="s">
        <v>527</v>
      </c>
      <c r="J31" s="15" t="s">
        <v>528</v>
      </c>
    </row>
    <row r="32" customFormat="false" ht="28.35" hidden="false" customHeight="false" outlineLevel="0" collapsed="false">
      <c r="A32" s="0" t="n">
        <v>2017</v>
      </c>
      <c r="B32" s="0" t="str">
        <f aca="false">INDEX($B$6:$B$15,MATCH(MAX($C$6:$C$15),$C$6:$C$15,0))</f>
        <v>Mineral fuels, lubricants and related materials</v>
      </c>
      <c r="C32" s="6" t="n">
        <f aca="false">MAX($C$6:$C$15)</f>
        <v>23447</v>
      </c>
      <c r="D32" s="0" t="str">
        <f aca="false">INDEX($B$6:$B$15,MATCH(MIN($C$6:$C$15),$C$6:$C$15,0))</f>
        <v>Commodities and transactions not classified elsewhere in the SITC</v>
      </c>
      <c r="E32" s="6" t="n">
        <f aca="false">MIN($C$6:$C$15)</f>
        <v>-1929</v>
      </c>
      <c r="F32" s="0" t="str">
        <f aca="false">INDEX($B$19:$B$28,MATCH(MAX($C$19:$C$28),$C$19:$C$28,0))</f>
        <v>Machinery and transport equipment</v>
      </c>
      <c r="G32" s="6" t="n">
        <f aca="false">MAX($C$19:$C$28)</f>
        <v>14601</v>
      </c>
      <c r="H32" s="0" t="str">
        <f aca="false">INDEX($B$19:$B$28,MATCH(MIN($C$19:$C$28),$C$19:$C$28,0))</f>
        <v>Animal and vegetable oils, fats and waxes</v>
      </c>
      <c r="I32" s="6" t="n">
        <f aca="false">MIN($C$19:$C$28)</f>
        <v>2</v>
      </c>
      <c r="J32" s="16" t="s">
        <v>529</v>
      </c>
    </row>
    <row r="33" customFormat="false" ht="28.35" hidden="false" customHeight="false" outlineLevel="0" collapsed="false">
      <c r="A33" s="0" t="n">
        <v>2018</v>
      </c>
      <c r="B33" s="0" t="str">
        <f aca="false">INDEX($B$6:$B$15,MATCH(MAX($D$6:$D$15),$D$6:$D$15,0))</f>
        <v>Mineral fuels, lubricants and related materials</v>
      </c>
      <c r="C33" s="6" t="n">
        <f aca="false">MAX($D$6:$D$15)</f>
        <v>31120</v>
      </c>
      <c r="D33" s="0" t="str">
        <f aca="false">INDEX($B$6:$B$15,MATCH(MIN($D$6:$D$15),$D$6:$D$15,0))</f>
        <v>Food and live animals</v>
      </c>
      <c r="E33" s="6" t="n">
        <f aca="false">MIN($D$6:$D$15)</f>
        <v>-1325</v>
      </c>
      <c r="F33" s="0" t="str">
        <f aca="false">INDEX($B$19:$B$28,MATCH(MAX($D$19:$D$28),$D$19:$D$28,0))</f>
        <v>Mineral fuels, lubricants and related materials</v>
      </c>
      <c r="G33" s="6" t="n">
        <f aca="false">MAX($D$19:$D$28)</f>
        <v>10707</v>
      </c>
      <c r="H33" s="0" t="str">
        <f aca="false">INDEX($B$19:$B$28,MATCH(MIN($D$19:$D$28),$D$19:$D$28,0))</f>
        <v>Commodities and transactions not classified elsewhere in the SITC</v>
      </c>
      <c r="I33" s="6" t="n">
        <f aca="false">MIN($D$19:$D$28)</f>
        <v>-9257</v>
      </c>
      <c r="J33" s="16" t="s">
        <v>530</v>
      </c>
    </row>
    <row r="34" customFormat="false" ht="28.35" hidden="false" customHeight="false" outlineLevel="0" collapsed="false">
      <c r="A34" s="0" t="n">
        <v>2019</v>
      </c>
      <c r="B34" s="0" t="str">
        <f aca="false">INDEX($B$6:$B$15,MATCH(MAX($E$6:$E$15),$E$6:$E$15,0))</f>
        <v>Crude materials, inedible, except fuels</v>
      </c>
      <c r="C34" s="6" t="n">
        <f aca="false">MAX($E$6:$E$15)</f>
        <v>29536</v>
      </c>
      <c r="D34" s="0" t="str">
        <f aca="false">INDEX($B$6:$B$15,MATCH(MIN($E$6:$E$15),$E$6:$E$15,0))</f>
        <v>Animal and vegetable oils, fats and waxes</v>
      </c>
      <c r="E34" s="6" t="n">
        <f aca="false">MIN($E$6:$E$15)</f>
        <v>-16</v>
      </c>
      <c r="F34" s="0" t="str">
        <f aca="false">INDEX($B$19:$B$28,MATCH(MAX($E$19:$E$28),$E$19:$E$28,0))</f>
        <v>Miscellaneous manufactured articles</v>
      </c>
      <c r="G34" s="6" t="n">
        <f aca="false">MAX($E$19:$E$28)</f>
        <v>2009</v>
      </c>
      <c r="H34" s="0" t="str">
        <f aca="false">INDEX($B$19:$B$28,MATCH(MIN($E$19:$E$28),$E$19:$E$28,0))</f>
        <v>Mineral fuels, lubricants and related materials</v>
      </c>
      <c r="I34" s="6" t="n">
        <f aca="false">MIN($E$19:$E$28)</f>
        <v>-1718</v>
      </c>
      <c r="J34" s="16" t="s">
        <v>531</v>
      </c>
    </row>
    <row r="35" customFormat="false" ht="28.35" hidden="false" customHeight="false" outlineLevel="0" collapsed="false">
      <c r="A35" s="0" t="n">
        <v>2020</v>
      </c>
      <c r="B35" s="0" t="str">
        <f aca="false">INDEX($B$6:$B$15,MATCH(MAX($F$6:$F$15),$F$6:$F$15,0))</f>
        <v>Crude materials, inedible, except fuels</v>
      </c>
      <c r="C35" s="6" t="n">
        <f aca="false">MAX($F$6:$F$15)</f>
        <v>15553</v>
      </c>
      <c r="D35" s="0" t="str">
        <f aca="false">INDEX($B$6:$B$15,MATCH(MIN($F$6:$F$15),$F$6:$F$15,0))</f>
        <v>Mineral fuels, lubricants and related materials</v>
      </c>
      <c r="E35" s="6" t="n">
        <f aca="false">MIN($F$6:$F$15)</f>
        <v>-37467</v>
      </c>
      <c r="F35" s="0" t="str">
        <f aca="false">INDEX($B$19:$B$28,MATCH(MAX($F$19:$F$28),$F$19:$F$28,0))</f>
        <v>Chemicals and related products, nes</v>
      </c>
      <c r="G35" s="6" t="n">
        <f aca="false">MAX($F$19:$F$28)</f>
        <v>2267</v>
      </c>
      <c r="H35" s="0" t="str">
        <f aca="false">INDEX($B$19:$B$28,MATCH(MIN($F$19:$F$28),$F$19:$F$28,0))</f>
        <v>Mineral fuels, lubricants and related materials</v>
      </c>
      <c r="I35" s="6" t="n">
        <f aca="false">MIN($F$19:$F$28)</f>
        <v>-15686</v>
      </c>
      <c r="J35" s="16" t="s">
        <v>532</v>
      </c>
    </row>
    <row r="36" customFormat="false" ht="28.35" hidden="false" customHeight="false" outlineLevel="0" collapsed="false">
      <c r="A36" s="0" t="n">
        <v>2021</v>
      </c>
      <c r="B36" s="0" t="str">
        <f aca="false">INDEX($B$6:$B$15,MATCH(MAX($G$6:$G$15),$G$6:$G$15,0))</f>
        <v>Crude materials, inedible, except fuels</v>
      </c>
      <c r="C36" s="6" t="n">
        <f aca="false">MAX($G$6:$G$15)</f>
        <v>46211</v>
      </c>
      <c r="D36" s="0" t="str">
        <f aca="false">INDEX($B$6:$B$15,MATCH(MIN($G$6:$G$15),$G$6:$G$15,0))</f>
        <v>Chemicals and related products, nes</v>
      </c>
      <c r="E36" s="6" t="n">
        <f aca="false">MIN($G$6:$G$15)</f>
        <v>-1040</v>
      </c>
      <c r="F36" s="0" t="str">
        <f aca="false">INDEX($B$19:$B$28,MATCH(MAX($G$19:$G$28),$G$19:$G$28,0))</f>
        <v>Machinery and transport equipment</v>
      </c>
      <c r="G36" s="6" t="n">
        <f aca="false">MAX($G$19:$G$28)</f>
        <v>15659</v>
      </c>
      <c r="H36" s="0" t="str">
        <f aca="false">INDEX($B$19:$B$28,MATCH(MIN($G$19:$G$28),$G$19:$G$28,0))</f>
        <v>Food and live animals</v>
      </c>
      <c r="I36" s="6" t="n">
        <f aca="false">MIN($G$19:$G$28)</f>
        <v>-1197</v>
      </c>
      <c r="J36" s="16" t="s">
        <v>533</v>
      </c>
    </row>
    <row r="37" customFormat="false" ht="28.35" hidden="false" customHeight="false" outlineLevel="0" collapsed="false">
      <c r="A37" s="0" t="n">
        <v>2022</v>
      </c>
      <c r="B37" s="0" t="str">
        <f aca="false">INDEX($B$6:$B$15,MATCH(MAX($H$6:$H$15),$H$6:$H$15,0))</f>
        <v>Mineral fuels, lubricants and related materials</v>
      </c>
      <c r="C37" s="6" t="n">
        <f aca="false">MAX($H$6:$H$15)</f>
        <v>124939</v>
      </c>
      <c r="D37" s="0" t="str">
        <f aca="false">INDEX($B$6:$B$15,MATCH(MIN($H$6:$H$15),$H$6:$H$15,0))</f>
        <v>Crude materials, inedible, except fuels</v>
      </c>
      <c r="E37" s="6" t="n">
        <f aca="false">MIN($H$6:$H$15)</f>
        <v>-9883</v>
      </c>
      <c r="F37" s="0" t="str">
        <f aca="false">INDEX($B$19:$B$28,MATCH(MAX($H$19:$H$28),$H$19:$H$28,0))</f>
        <v>Mineral fuels, lubricants and related materials</v>
      </c>
      <c r="G37" s="6" t="n">
        <f aca="false">MAX($H$19:$H$28)</f>
        <v>31254</v>
      </c>
      <c r="H37" s="0" t="str">
        <f aca="false">INDEX($B$19:$B$28,MATCH(MIN($H$19:$H$28),$H$19:$H$28,0))</f>
        <v>Animal and vegetable oils, fats and waxes</v>
      </c>
      <c r="I37" s="6" t="n">
        <f aca="false">MIN($H$19:$H$28)</f>
        <v>263</v>
      </c>
      <c r="J37" s="16" t="s">
        <v>534</v>
      </c>
    </row>
    <row r="38" customFormat="false" ht="28.35" hidden="false" customHeight="false" outlineLevel="0" collapsed="false">
      <c r="A38" s="0" t="n">
        <v>2023</v>
      </c>
      <c r="B38" s="0" t="str">
        <f aca="false">INDEX($B$6:$B$15,MATCH(MAX($I$6:$I$15),$I$6:$I$15,0))</f>
        <v>Crude materials, inedible, except fuels</v>
      </c>
      <c r="C38" s="6" t="n">
        <f aca="false">MAX($I$6:$I$15)</f>
        <v>14665</v>
      </c>
      <c r="D38" s="0" t="str">
        <f aca="false">INDEX($B$6:$B$15,MATCH(MIN($I$6:$I$15),$I$6:$I$15,0))</f>
        <v>Mineral fuels, lubricants and related materials</v>
      </c>
      <c r="E38" s="6" t="n">
        <f aca="false">MIN($I$6:$I$15)</f>
        <v>-55785</v>
      </c>
      <c r="F38" s="0" t="str">
        <f aca="false">INDEX($B$19:$B$28,MATCH(MAX($I$19:$I$28),$I$19:$I$28,0))</f>
        <v>Machinery and transport equipment</v>
      </c>
      <c r="G38" s="6" t="n">
        <f aca="false">MAX($I$19:$I$28)</f>
        <v>16455</v>
      </c>
      <c r="H38" s="0" t="str">
        <f aca="false">INDEX($B$19:$B$28,MATCH(MIN($I$19:$I$28),$I$19:$I$28,0))</f>
        <v>Chemicals and related products, nes</v>
      </c>
      <c r="I38" s="6" t="n">
        <f aca="false">MIN($I$19:$I$28)</f>
        <v>-8562</v>
      </c>
      <c r="J38" s="16" t="s">
        <v>535</v>
      </c>
    </row>
    <row r="39" customFormat="false" ht="28.35" hidden="false" customHeight="false" outlineLevel="0" collapsed="false">
      <c r="A39" s="0" t="n">
        <v>2024</v>
      </c>
      <c r="B39" s="0" t="str">
        <f aca="false">INDEX($B$6:$B$15,MATCH(MAX($J$6:$J$15),$J$6:$J$15,0))</f>
        <v>Commodities and transactions not classified elsewhere in the SITC</v>
      </c>
      <c r="C39" s="6" t="n">
        <f aca="false">MAX($J$6:$J$15)</f>
        <v>3922</v>
      </c>
      <c r="D39" s="0" t="str">
        <f aca="false">INDEX($B$6:$B$15,MATCH(MIN($J$6:$J$15),$J$6:$J$15,0))</f>
        <v>Mineral fuels, lubricants and related materials</v>
      </c>
      <c r="E39" s="6" t="n">
        <f aca="false">MIN($J$6:$J$15)</f>
        <v>-24707</v>
      </c>
      <c r="F39" s="0" t="str">
        <f aca="false">INDEX($B$19:$B$28,MATCH(MAX($J$19:$J$28),$J$19:$J$28,0))</f>
        <v>Machinery and transport equipment</v>
      </c>
      <c r="G39" s="6" t="n">
        <f aca="false">MAX($J$19:$J$28)</f>
        <v>7331</v>
      </c>
      <c r="H39" s="0" t="str">
        <f aca="false">INDEX($B$19:$B$28,MATCH(MIN($J$19:$J$28),$J$19:$J$28,0))</f>
        <v>Mineral fuels, lubricants and related materials</v>
      </c>
      <c r="I39" s="6" t="n">
        <f aca="false">MIN($J$19:$J$28)</f>
        <v>-3902</v>
      </c>
      <c r="J39" s="16" t="s">
        <v>536</v>
      </c>
    </row>
    <row r="40" customFormat="false" ht="28.35" hidden="false" customHeight="false" outlineLevel="0" collapsed="false">
      <c r="A40" s="0" t="n">
        <v>2025</v>
      </c>
      <c r="B40" s="0" t="str">
        <f aca="false">INDEX($B$6:$B$15,MATCH(MAX($K$6:$K$15),$K$6:$K$15,0))</f>
        <v>Commodities and transactions not classified elsewhere in the SITC</v>
      </c>
      <c r="C40" s="6" t="n">
        <f aca="false">MAX($K$6:$K$15)</f>
        <v>21245</v>
      </c>
      <c r="D40" s="0" t="str">
        <f aca="false">INDEX($B$6:$B$15,MATCH(MIN($K$6:$K$15),$K$6:$K$15,0))</f>
        <v>Mineral fuels, lubricants and related materials</v>
      </c>
      <c r="E40" s="6" t="n">
        <f aca="false">MIN($K$6:$K$15)</f>
        <v>-30661</v>
      </c>
      <c r="F40" s="0" t="str">
        <f aca="false">INDEX($B$19:$B$28,MATCH(MAX($K$19:$K$28),$K$19:$K$28,0))</f>
        <v>Commodities and transactions not classified elsewhere in the SITC</v>
      </c>
      <c r="G40" s="6" t="n">
        <f aca="false">MAX($K$19:$K$28)</f>
        <v>12152</v>
      </c>
      <c r="H40" s="0" t="str">
        <f aca="false">INDEX($B$19:$B$28,MATCH(MIN($K$19:$K$28),$K$19:$K$28,0))</f>
        <v>Mineral fuels, lubricants and related materials</v>
      </c>
      <c r="I40" s="6" t="n">
        <f aca="false">MIN($K$19:$K$28)</f>
        <v>-3491</v>
      </c>
      <c r="J40" s="16" t="s">
        <v>537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12" min="3" style="0" width="14"/>
  </cols>
  <sheetData>
    <row r="1" customFormat="false" ht="16.15" hidden="false" customHeight="false" outlineLevel="0" collapsed="false">
      <c r="A1" s="2" t="s">
        <v>538</v>
      </c>
    </row>
    <row r="2" customFormat="false" ht="15" hidden="false" customHeight="false" outlineLevel="0" collapsed="false">
      <c r="A2" s="0" t="s">
        <v>539</v>
      </c>
    </row>
    <row r="4" customFormat="false" ht="16.15" hidden="false" customHeight="false" outlineLevel="0" collapsed="false">
      <c r="A4" s="2" t="s">
        <v>477</v>
      </c>
    </row>
    <row r="5" customFormat="false" ht="15" hidden="false" customHeight="false" outlineLevel="0" collapsed="false">
      <c r="A5" s="3" t="s">
        <v>311</v>
      </c>
      <c r="B5" s="3" t="s">
        <v>313</v>
      </c>
      <c r="C5" s="7" t="n">
        <v>2016</v>
      </c>
      <c r="D5" s="7" t="n">
        <v>2017</v>
      </c>
      <c r="E5" s="7" t="n">
        <v>2018</v>
      </c>
      <c r="F5" s="7" t="n">
        <v>2019</v>
      </c>
      <c r="G5" s="7" t="n">
        <v>2020</v>
      </c>
      <c r="H5" s="7" t="n">
        <v>2021</v>
      </c>
      <c r="I5" s="7" t="n">
        <v>2022</v>
      </c>
      <c r="J5" s="7" t="n">
        <v>2023</v>
      </c>
      <c r="K5" s="7" t="n">
        <v>2024</v>
      </c>
      <c r="L5" s="7" t="n">
        <v>2025</v>
      </c>
    </row>
    <row r="6" customFormat="false" ht="15" hidden="false" customHeight="false" outlineLevel="0" collapsed="false">
      <c r="A6" s="0" t="s">
        <v>365</v>
      </c>
      <c r="B6" s="0" t="s">
        <v>366</v>
      </c>
      <c r="C6" s="8" t="n">
        <f aca="false">'Export-dataset'!Z4</f>
        <v>67702</v>
      </c>
      <c r="D6" s="8" t="n">
        <f aca="false">'Export-dataset'!Z5</f>
        <v>91149</v>
      </c>
      <c r="E6" s="8" t="n">
        <f aca="false">'Export-dataset'!Z6</f>
        <v>122269</v>
      </c>
      <c r="F6" s="8" t="n">
        <f aca="false">'Export-dataset'!Z7</f>
        <v>126288</v>
      </c>
      <c r="G6" s="8" t="n">
        <f aca="false">'Export-dataset'!Z8</f>
        <v>88821</v>
      </c>
      <c r="H6" s="8" t="n">
        <f aca="false">'Export-dataset'!Z9</f>
        <v>126395</v>
      </c>
      <c r="I6" s="8" t="n">
        <f aca="false">'Export-dataset'!Z10</f>
        <v>251334</v>
      </c>
      <c r="J6" s="8" t="n">
        <f aca="false">'Export-dataset'!Z11</f>
        <v>195549</v>
      </c>
      <c r="K6" s="8" t="n">
        <f aca="false">'Export-dataset'!Z12</f>
        <v>170842</v>
      </c>
      <c r="L6" s="8" t="n">
        <f aca="false">'Export-dataset'!Z13</f>
        <v>140181</v>
      </c>
    </row>
    <row r="7" customFormat="false" ht="15" hidden="false" customHeight="false" outlineLevel="0" collapsed="false">
      <c r="A7" s="0" t="s">
        <v>367</v>
      </c>
      <c r="B7" s="0" t="s">
        <v>368</v>
      </c>
      <c r="C7" s="8" t="n">
        <f aca="false">'Export-dataset'!AA4</f>
        <v>42273</v>
      </c>
      <c r="D7" s="8" t="n">
        <f aca="false">'Export-dataset'!AA5</f>
        <v>57133</v>
      </c>
      <c r="E7" s="8" t="n">
        <f aca="false">'Export-dataset'!AA6</f>
        <v>66848</v>
      </c>
      <c r="F7" s="8" t="n">
        <f aca="false">'Export-dataset'!AA7</f>
        <v>63941</v>
      </c>
      <c r="G7" s="8" t="n">
        <f aca="false">'Export-dataset'!AA8</f>
        <v>43367</v>
      </c>
      <c r="H7" s="8" t="n">
        <f aca="false">'Export-dataset'!AA9</f>
        <v>63504</v>
      </c>
      <c r="I7" s="8" t="n">
        <f aca="false">'Export-dataset'!AA10</f>
        <v>142345</v>
      </c>
      <c r="J7" s="8" t="n">
        <f aca="false">'Export-dataset'!AA11</f>
        <v>103331</v>
      </c>
      <c r="K7" s="8" t="n">
        <f aca="false">'Export-dataset'!AA12</f>
        <v>85445</v>
      </c>
      <c r="L7" s="8" t="n">
        <f aca="false">'Export-dataset'!AA13</f>
        <v>64478</v>
      </c>
    </row>
    <row r="8" customFormat="false" ht="15" hidden="false" customHeight="false" outlineLevel="0" collapsed="false">
      <c r="A8" s="0" t="s">
        <v>369</v>
      </c>
      <c r="B8" s="0" t="s">
        <v>370</v>
      </c>
      <c r="C8" s="8" t="n">
        <f aca="false">'Export-dataset'!AB4</f>
        <v>6946</v>
      </c>
      <c r="D8" s="8" t="n">
        <f aca="false">'Export-dataset'!AB5</f>
        <v>7662</v>
      </c>
      <c r="E8" s="8" t="n">
        <f aca="false">'Export-dataset'!AB6</f>
        <v>11191</v>
      </c>
      <c r="F8" s="8" t="n">
        <f aca="false">'Export-dataset'!AB7</f>
        <v>12224</v>
      </c>
      <c r="G8" s="8" t="n">
        <f aca="false">'Export-dataset'!AB8</f>
        <v>7755</v>
      </c>
      <c r="H8" s="8" t="n">
        <f aca="false">'Export-dataset'!AB9</f>
        <v>11715</v>
      </c>
      <c r="I8" s="8" t="n">
        <f aca="false">'Export-dataset'!AB10</f>
        <v>17341</v>
      </c>
      <c r="J8" s="8" t="n">
        <f aca="false">'Export-dataset'!AB11</f>
        <v>15760</v>
      </c>
      <c r="K8" s="8" t="n">
        <f aca="false">'Export-dataset'!AB12</f>
        <v>15713</v>
      </c>
      <c r="L8" s="8" t="n">
        <f aca="false">'Export-dataset'!AB13</f>
        <v>14187</v>
      </c>
    </row>
    <row r="9" customFormat="false" ht="15" hidden="false" customHeight="false" outlineLevel="0" collapsed="false">
      <c r="A9" s="0" t="s">
        <v>371</v>
      </c>
      <c r="B9" s="0" t="s">
        <v>372</v>
      </c>
      <c r="C9" s="8" t="n">
        <f aca="false">'Export-dataset'!AC4</f>
        <v>18480</v>
      </c>
      <c r="D9" s="8" t="n">
        <f aca="false">'Export-dataset'!AC5</f>
        <v>26355</v>
      </c>
      <c r="E9" s="8" t="n">
        <f aca="false">'Export-dataset'!AC6</f>
        <v>44229</v>
      </c>
      <c r="F9" s="8" t="n">
        <f aca="false">'Export-dataset'!AC7</f>
        <v>50124</v>
      </c>
      <c r="G9" s="8" t="n">
        <f aca="false">'Export-dataset'!AC8</f>
        <v>37699</v>
      </c>
      <c r="H9" s="8" t="n">
        <f aca="false">'Export-dataset'!AC9</f>
        <v>51179</v>
      </c>
      <c r="I9" s="8" t="n">
        <f aca="false">'Export-dataset'!AC10</f>
        <v>91648</v>
      </c>
      <c r="J9" s="8" t="n">
        <f aca="false">'Export-dataset'!AC11</f>
        <v>76456</v>
      </c>
      <c r="K9" s="8" t="n">
        <f aca="false">'Export-dataset'!AC12</f>
        <v>69682</v>
      </c>
      <c r="L9" s="8" t="n">
        <f aca="false">'Export-dataset'!AC13</f>
        <v>61513</v>
      </c>
    </row>
    <row r="11" customFormat="false" ht="16.15" hidden="false" customHeight="false" outlineLevel="0" collapsed="false">
      <c r="A11" s="2" t="s">
        <v>540</v>
      </c>
    </row>
    <row r="12" customFormat="false" ht="15" hidden="false" customHeight="false" outlineLevel="0" collapsed="false">
      <c r="A12" s="3" t="s">
        <v>311</v>
      </c>
      <c r="B12" s="3" t="s">
        <v>313</v>
      </c>
      <c r="C12" s="7" t="n">
        <v>2016</v>
      </c>
      <c r="D12" s="7" t="n">
        <v>2017</v>
      </c>
      <c r="E12" s="7" t="n">
        <v>2018</v>
      </c>
      <c r="F12" s="7" t="n">
        <v>2019</v>
      </c>
      <c r="G12" s="7" t="n">
        <v>2020</v>
      </c>
      <c r="H12" s="7" t="n">
        <v>2021</v>
      </c>
      <c r="I12" s="7" t="n">
        <v>2022</v>
      </c>
      <c r="J12" s="7" t="n">
        <v>2023</v>
      </c>
      <c r="K12" s="7" t="n">
        <v>2024</v>
      </c>
      <c r="L12" s="7" t="n">
        <v>2025</v>
      </c>
    </row>
    <row r="13" customFormat="false" ht="15" hidden="false" customHeight="false" outlineLevel="0" collapsed="false">
      <c r="A13" s="0" t="s">
        <v>365</v>
      </c>
      <c r="B13" s="0" t="s">
        <v>366</v>
      </c>
      <c r="C13" s="9" t="n">
        <f aca="false">'Export-dataset'!Z4/'Export-dataset'!Z4</f>
        <v>1</v>
      </c>
      <c r="D13" s="9" t="n">
        <f aca="false">'Export-dataset'!Z5/'Export-dataset'!Z5</f>
        <v>1</v>
      </c>
      <c r="E13" s="9" t="n">
        <f aca="false">'Export-dataset'!Z6/'Export-dataset'!Z6</f>
        <v>1</v>
      </c>
      <c r="F13" s="9" t="n">
        <f aca="false">'Export-dataset'!Z7/'Export-dataset'!Z7</f>
        <v>1</v>
      </c>
      <c r="G13" s="9" t="n">
        <f aca="false">'Export-dataset'!Z8/'Export-dataset'!Z8</f>
        <v>1</v>
      </c>
      <c r="H13" s="9" t="n">
        <f aca="false">'Export-dataset'!Z9/'Export-dataset'!Z9</f>
        <v>1</v>
      </c>
      <c r="I13" s="9" t="n">
        <f aca="false">'Export-dataset'!Z10/'Export-dataset'!Z10</f>
        <v>1</v>
      </c>
      <c r="J13" s="9" t="n">
        <f aca="false">'Export-dataset'!Z11/'Export-dataset'!Z11</f>
        <v>1</v>
      </c>
      <c r="K13" s="9" t="n">
        <f aca="false">'Export-dataset'!Z12/'Export-dataset'!Z12</f>
        <v>1</v>
      </c>
      <c r="L13" s="9" t="n">
        <f aca="false">'Export-dataset'!Z13/'Export-dataset'!Z13</f>
        <v>1</v>
      </c>
    </row>
    <row r="14" customFormat="false" ht="15" hidden="false" customHeight="false" outlineLevel="0" collapsed="false">
      <c r="A14" s="0" t="s">
        <v>367</v>
      </c>
      <c r="B14" s="0" t="s">
        <v>368</v>
      </c>
      <c r="C14" s="9" t="n">
        <f aca="false">'Export-dataset'!AA4/'Export-dataset'!Z4</f>
        <v>0.624398097545124</v>
      </c>
      <c r="D14" s="9" t="n">
        <f aca="false">'Export-dataset'!AA5/'Export-dataset'!Z5</f>
        <v>0.626808851441047</v>
      </c>
      <c r="E14" s="9" t="n">
        <f aca="false">'Export-dataset'!AA6/'Export-dataset'!Z6</f>
        <v>0.546728933744449</v>
      </c>
      <c r="F14" s="9" t="n">
        <f aca="false">'Export-dataset'!AA7/'Export-dataset'!Z7</f>
        <v>0.506310971747118</v>
      </c>
      <c r="G14" s="9" t="n">
        <f aca="false">'Export-dataset'!AA8/'Export-dataset'!Z8</f>
        <v>0.488251652199367</v>
      </c>
      <c r="H14" s="9" t="n">
        <f aca="false">'Export-dataset'!AA9/'Export-dataset'!Z9</f>
        <v>0.50242493769532</v>
      </c>
      <c r="I14" s="9" t="n">
        <f aca="false">'Export-dataset'!AA10/'Export-dataset'!Z10</f>
        <v>0.566357914169989</v>
      </c>
      <c r="J14" s="9" t="n">
        <f aca="false">'Export-dataset'!AA11/'Export-dataset'!Z11</f>
        <v>0.528414872998584</v>
      </c>
      <c r="K14" s="9" t="n">
        <f aca="false">'Export-dataset'!AA12/'Export-dataset'!Z12</f>
        <v>0.500140480678053</v>
      </c>
      <c r="L14" s="9" t="n">
        <f aca="false">'Export-dataset'!AA13/'Export-dataset'!Z13</f>
        <v>0.4599624770832</v>
      </c>
    </row>
    <row r="15" customFormat="false" ht="15" hidden="false" customHeight="false" outlineLevel="0" collapsed="false">
      <c r="A15" s="0" t="s">
        <v>369</v>
      </c>
      <c r="B15" s="0" t="s">
        <v>370</v>
      </c>
      <c r="C15" s="9" t="n">
        <f aca="false">'Export-dataset'!AB4/'Export-dataset'!Z4</f>
        <v>0.10259667365809</v>
      </c>
      <c r="D15" s="9" t="n">
        <f aca="false">'Export-dataset'!AB5/'Export-dataset'!Z5</f>
        <v>0.0840601652239739</v>
      </c>
      <c r="E15" s="9" t="n">
        <f aca="false">'Export-dataset'!AB6/'Export-dataset'!Z6</f>
        <v>0.0915276971268269</v>
      </c>
      <c r="F15" s="9" t="n">
        <f aca="false">'Export-dataset'!AB7/'Export-dataset'!Z7</f>
        <v>0.0967946281515267</v>
      </c>
      <c r="G15" s="9" t="n">
        <f aca="false">'Export-dataset'!AB8/'Export-dataset'!Z8</f>
        <v>0.0873104333434661</v>
      </c>
      <c r="H15" s="9" t="n">
        <f aca="false">'Export-dataset'!AB9/'Export-dataset'!Z9</f>
        <v>0.0926856283871989</v>
      </c>
      <c r="I15" s="9" t="n">
        <f aca="false">'Export-dataset'!AB10/'Export-dataset'!Z10</f>
        <v>0.0689958382073257</v>
      </c>
      <c r="J15" s="9" t="n">
        <f aca="false">'Export-dataset'!AB11/'Export-dataset'!Z11</f>
        <v>0.0805936108085441</v>
      </c>
      <c r="K15" s="9" t="n">
        <f aca="false">'Export-dataset'!AB12/'Export-dataset'!Z12</f>
        <v>0.0919738705938821</v>
      </c>
      <c r="L15" s="9" t="n">
        <f aca="false">'Export-dataset'!AB13/'Export-dataset'!Z13</f>
        <v>0.10120487084555</v>
      </c>
    </row>
    <row r="16" customFormat="false" ht="15" hidden="false" customHeight="false" outlineLevel="0" collapsed="false">
      <c r="A16" s="0" t="s">
        <v>371</v>
      </c>
      <c r="B16" s="0" t="s">
        <v>372</v>
      </c>
      <c r="C16" s="9" t="n">
        <f aca="false">'Export-dataset'!AC4/'Export-dataset'!Z4</f>
        <v>0.272960916959617</v>
      </c>
      <c r="D16" s="9" t="n">
        <f aca="false">'Export-dataset'!AC5/'Export-dataset'!Z5</f>
        <v>0.289141954382385</v>
      </c>
      <c r="E16" s="9" t="n">
        <f aca="false">'Export-dataset'!AC6/'Export-dataset'!Z6</f>
        <v>0.36173519044075</v>
      </c>
      <c r="F16" s="9" t="n">
        <f aca="false">'Export-dataset'!AC7/'Export-dataset'!Z7</f>
        <v>0.396902318510072</v>
      </c>
      <c r="G16" s="9" t="n">
        <f aca="false">'Export-dataset'!AC8/'Export-dataset'!Z8</f>
        <v>0.424437914457167</v>
      </c>
      <c r="H16" s="9" t="n">
        <f aca="false">'Export-dataset'!AC9/'Export-dataset'!Z9</f>
        <v>0.404913169033585</v>
      </c>
      <c r="I16" s="9" t="n">
        <f aca="false">'Export-dataset'!AC10/'Export-dataset'!Z10</f>
        <v>0.364646247622685</v>
      </c>
      <c r="J16" s="9" t="n">
        <f aca="false">'Export-dataset'!AC11/'Export-dataset'!Z11</f>
        <v>0.390981288577288</v>
      </c>
      <c r="K16" s="9" t="n">
        <f aca="false">'Export-dataset'!AC12/'Export-dataset'!Z12</f>
        <v>0.407873942004893</v>
      </c>
      <c r="L16" s="9" t="n">
        <f aca="false">'Export-dataset'!AC13/'Export-dataset'!Z13</f>
        <v>0.438811251168133</v>
      </c>
    </row>
    <row r="18" customFormat="false" ht="16.15" hidden="false" customHeight="false" outlineLevel="0" collapsed="false">
      <c r="A18" s="2" t="s">
        <v>478</v>
      </c>
    </row>
    <row r="19" customFormat="false" ht="15" hidden="false" customHeight="false" outlineLevel="0" collapsed="false">
      <c r="A19" s="3" t="s">
        <v>311</v>
      </c>
      <c r="B19" s="3" t="s">
        <v>313</v>
      </c>
      <c r="C19" s="7" t="n">
        <v>2017</v>
      </c>
      <c r="D19" s="7" t="n">
        <v>2018</v>
      </c>
      <c r="E19" s="7" t="n">
        <v>2019</v>
      </c>
      <c r="F19" s="7" t="n">
        <v>2020</v>
      </c>
      <c r="G19" s="7" t="n">
        <v>2021</v>
      </c>
      <c r="H19" s="7" t="n">
        <v>2022</v>
      </c>
      <c r="I19" s="7" t="n">
        <v>2023</v>
      </c>
      <c r="J19" s="7" t="n">
        <v>2024</v>
      </c>
      <c r="K19" s="7" t="n">
        <v>2025</v>
      </c>
    </row>
    <row r="20" customFormat="false" ht="15" hidden="false" customHeight="false" outlineLevel="0" collapsed="false">
      <c r="A20" s="0" t="s">
        <v>365</v>
      </c>
      <c r="B20" s="0" t="s">
        <v>366</v>
      </c>
      <c r="C20" s="9" t="n">
        <f aca="false">'Export-dataset'!Z5/'Export-dataset'!Z4-1</f>
        <v>0.346326548698709</v>
      </c>
      <c r="D20" s="9" t="n">
        <f aca="false">'Export-dataset'!Z6/'Export-dataset'!Z5-1</f>
        <v>0.341418995271479</v>
      </c>
      <c r="E20" s="9" t="n">
        <f aca="false">'Export-dataset'!Z7/'Export-dataset'!Z6-1</f>
        <v>0.0328701469710229</v>
      </c>
      <c r="F20" s="9" t="n">
        <f aca="false">'Export-dataset'!Z8/'Export-dataset'!Z7-1</f>
        <v>-0.296679019384265</v>
      </c>
      <c r="G20" s="9" t="n">
        <f aca="false">'Export-dataset'!Z9/'Export-dataset'!Z8-1</f>
        <v>0.423030589612817</v>
      </c>
      <c r="H20" s="9" t="n">
        <f aca="false">'Export-dataset'!Z10/'Export-dataset'!Z9-1</f>
        <v>0.988480556984058</v>
      </c>
      <c r="I20" s="9" t="n">
        <f aca="false">'Export-dataset'!Z11/'Export-dataset'!Z10-1</f>
        <v>-0.221955644679988</v>
      </c>
      <c r="J20" s="9" t="n">
        <f aca="false">'Export-dataset'!Z12/'Export-dataset'!Z11-1</f>
        <v>-0.126346849127329</v>
      </c>
      <c r="K20" s="9" t="n">
        <f aca="false">'Export-dataset'!Z13/'Export-dataset'!Z12-1</f>
        <v>-0.179469919574812</v>
      </c>
    </row>
    <row r="21" customFormat="false" ht="15" hidden="false" customHeight="false" outlineLevel="0" collapsed="false">
      <c r="A21" s="0" t="s">
        <v>367</v>
      </c>
      <c r="B21" s="0" t="s">
        <v>368</v>
      </c>
      <c r="C21" s="9" t="n">
        <f aca="false">'Export-dataset'!AA5/'Export-dataset'!AA4-1</f>
        <v>0.351524613819696</v>
      </c>
      <c r="D21" s="9" t="n">
        <f aca="false">'Export-dataset'!AA6/'Export-dataset'!AA5-1</f>
        <v>0.170041832216057</v>
      </c>
      <c r="E21" s="9" t="n">
        <f aca="false">'Export-dataset'!AA7/'Export-dataset'!AA6-1</f>
        <v>-0.0434867161321206</v>
      </c>
      <c r="F21" s="9" t="n">
        <f aca="false">'Export-dataset'!AA8/'Export-dataset'!AA7-1</f>
        <v>-0.321765377457343</v>
      </c>
      <c r="G21" s="9" t="n">
        <f aca="false">'Export-dataset'!AA9/'Export-dataset'!AA8-1</f>
        <v>0.464339244125718</v>
      </c>
      <c r="H21" s="9" t="n">
        <f aca="false">'Export-dataset'!AA10/'Export-dataset'!AA9-1</f>
        <v>1.24151234567901</v>
      </c>
      <c r="I21" s="9" t="n">
        <f aca="false">'Export-dataset'!AA11/'Export-dataset'!AA10-1</f>
        <v>-0.274080578875268</v>
      </c>
      <c r="J21" s="9" t="n">
        <f aca="false">'Export-dataset'!AA12/'Export-dataset'!AA11-1</f>
        <v>-0.173094231160058</v>
      </c>
      <c r="K21" s="9" t="n">
        <f aca="false">'Export-dataset'!AA13/'Export-dataset'!AA12-1</f>
        <v>-0.245385920767745</v>
      </c>
    </row>
    <row r="22" customFormat="false" ht="15" hidden="false" customHeight="false" outlineLevel="0" collapsed="false">
      <c r="A22" s="0" t="s">
        <v>369</v>
      </c>
      <c r="B22" s="0" t="s">
        <v>370</v>
      </c>
      <c r="C22" s="9" t="n">
        <f aca="false">'Export-dataset'!AB5/'Export-dataset'!AB4-1</f>
        <v>0.103080909876188</v>
      </c>
      <c r="D22" s="9" t="n">
        <f aca="false">'Export-dataset'!AB6/'Export-dataset'!AB5-1</f>
        <v>0.460584703732707</v>
      </c>
      <c r="E22" s="9" t="n">
        <f aca="false">'Export-dataset'!AB7/'Export-dataset'!AB6-1</f>
        <v>0.0923063175766241</v>
      </c>
      <c r="F22" s="9" t="n">
        <f aca="false">'Export-dataset'!AB8/'Export-dataset'!AB7-1</f>
        <v>-0.365592277486911</v>
      </c>
      <c r="G22" s="9" t="n">
        <f aca="false">'Export-dataset'!AB9/'Export-dataset'!AB8-1</f>
        <v>0.510638297872341</v>
      </c>
      <c r="H22" s="9" t="n">
        <f aca="false">'Export-dataset'!AB10/'Export-dataset'!AB9-1</f>
        <v>0.480239009816475</v>
      </c>
      <c r="I22" s="9" t="n">
        <f aca="false">'Export-dataset'!AB11/'Export-dataset'!AB10-1</f>
        <v>-0.0911712127328297</v>
      </c>
      <c r="J22" s="9" t="n">
        <f aca="false">'Export-dataset'!AB12/'Export-dataset'!AB11-1</f>
        <v>-0.00298223350253812</v>
      </c>
      <c r="K22" s="9" t="n">
        <f aca="false">'Export-dataset'!AB13/'Export-dataset'!AB12-1</f>
        <v>-0.0971170368484694</v>
      </c>
    </row>
    <row r="23" customFormat="false" ht="15" hidden="false" customHeight="false" outlineLevel="0" collapsed="false">
      <c r="A23" s="0" t="s">
        <v>371</v>
      </c>
      <c r="B23" s="0" t="s">
        <v>372</v>
      </c>
      <c r="C23" s="9" t="n">
        <f aca="false">'Export-dataset'!AC5/'Export-dataset'!AC4-1</f>
        <v>0.426136363636364</v>
      </c>
      <c r="D23" s="9" t="n">
        <f aca="false">'Export-dataset'!AC6/'Export-dataset'!AC5-1</f>
        <v>0.678201479795105</v>
      </c>
      <c r="E23" s="9" t="n">
        <f aca="false">'Export-dataset'!AC7/'Export-dataset'!AC6-1</f>
        <v>0.133283592213254</v>
      </c>
      <c r="F23" s="9" t="n">
        <f aca="false">'Export-dataset'!AC8/'Export-dataset'!AC7-1</f>
        <v>-0.247885244593408</v>
      </c>
      <c r="G23" s="9" t="n">
        <f aca="false">'Export-dataset'!AC9/'Export-dataset'!AC8-1</f>
        <v>0.357569166290883</v>
      </c>
      <c r="H23" s="9" t="n">
        <f aca="false">'Export-dataset'!AC10/'Export-dataset'!AC9-1</f>
        <v>0.790734480939448</v>
      </c>
      <c r="I23" s="9" t="n">
        <f aca="false">'Export-dataset'!AC11/'Export-dataset'!AC10-1</f>
        <v>-0.165764664804469</v>
      </c>
      <c r="J23" s="9" t="n">
        <f aca="false">'Export-dataset'!AC12/'Export-dataset'!AC11-1</f>
        <v>-0.0885999790729308</v>
      </c>
      <c r="K23" s="9" t="n">
        <f aca="false">'Export-dataset'!AC13/'Export-dataset'!AC12-1</f>
        <v>-0.117232570821733</v>
      </c>
    </row>
    <row r="25" customFormat="false" ht="16.15" hidden="false" customHeight="false" outlineLevel="0" collapsed="false">
      <c r="A25" s="2" t="s">
        <v>479</v>
      </c>
    </row>
    <row r="26" customFormat="false" ht="15" hidden="false" customHeight="false" outlineLevel="0" collapsed="false">
      <c r="A26" s="3" t="s">
        <v>311</v>
      </c>
      <c r="B26" s="3" t="s">
        <v>313</v>
      </c>
      <c r="C26" s="7" t="n">
        <v>2016</v>
      </c>
      <c r="D26" s="7" t="n">
        <v>2017</v>
      </c>
      <c r="E26" s="7" t="n">
        <v>2018</v>
      </c>
      <c r="F26" s="7" t="n">
        <v>2019</v>
      </c>
      <c r="G26" s="7" t="n">
        <v>2020</v>
      </c>
      <c r="H26" s="7" t="n">
        <v>2021</v>
      </c>
      <c r="I26" s="7" t="n">
        <v>2022</v>
      </c>
      <c r="J26" s="7" t="n">
        <v>2023</v>
      </c>
      <c r="K26" s="7" t="n">
        <v>2024</v>
      </c>
      <c r="L26" s="7" t="n">
        <v>2025</v>
      </c>
    </row>
    <row r="27" customFormat="false" ht="15" hidden="false" customHeight="false" outlineLevel="0" collapsed="false">
      <c r="A27" s="0" t="s">
        <v>365</v>
      </c>
      <c r="B27" s="0" t="s">
        <v>366</v>
      </c>
      <c r="C27" s="10" t="n">
        <f aca="false">'Export-dataset'!Z4/'Export-dataset'!Z4*100</f>
        <v>100</v>
      </c>
      <c r="D27" s="10" t="n">
        <f aca="false">'Export-dataset'!Z5/'Export-dataset'!Z4*100</f>
        <v>134.632654869871</v>
      </c>
      <c r="E27" s="10" t="n">
        <f aca="false">'Export-dataset'!Z6/'Export-dataset'!Z4*100</f>
        <v>180.598800626274</v>
      </c>
      <c r="F27" s="10" t="n">
        <f aca="false">'Export-dataset'!Z7/'Export-dataset'!Z4*100</f>
        <v>186.53510974565</v>
      </c>
      <c r="G27" s="10" t="n">
        <f aca="false">'Export-dataset'!Z8/'Export-dataset'!Z4*100</f>
        <v>131.194056305574</v>
      </c>
      <c r="H27" s="10" t="n">
        <f aca="false">'Export-dataset'!Z9/'Export-dataset'!Z4*100</f>
        <v>186.693155298219</v>
      </c>
      <c r="I27" s="10" t="n">
        <f aca="false">'Export-dataset'!Z10/'Export-dataset'!Z4*100</f>
        <v>371.235709432513</v>
      </c>
      <c r="J27" s="10" t="n">
        <f aca="false">'Export-dataset'!Z11/'Export-dataset'!Z4*100</f>
        <v>288.837848217187</v>
      </c>
      <c r="K27" s="10" t="n">
        <f aca="false">'Export-dataset'!Z12/'Export-dataset'!Z4*100</f>
        <v>252.344096186228</v>
      </c>
      <c r="L27" s="10" t="n">
        <f aca="false">'Export-dataset'!Z13/'Export-dataset'!Z4*100</f>
        <v>207.055921538507</v>
      </c>
    </row>
    <row r="28" customFormat="false" ht="15" hidden="false" customHeight="false" outlineLevel="0" collapsed="false">
      <c r="A28" s="0" t="s">
        <v>367</v>
      </c>
      <c r="B28" s="0" t="s">
        <v>368</v>
      </c>
      <c r="C28" s="10" t="n">
        <f aca="false">'Export-dataset'!AA4/'Export-dataset'!AA4*100</f>
        <v>100</v>
      </c>
      <c r="D28" s="10" t="n">
        <f aca="false">'Export-dataset'!AA5/'Export-dataset'!AA4*100</f>
        <v>135.15246138197</v>
      </c>
      <c r="E28" s="10" t="n">
        <f aca="false">'Export-dataset'!AA6/'Export-dataset'!AA4*100</f>
        <v>158.13403354387</v>
      </c>
      <c r="F28" s="10" t="n">
        <f aca="false">'Export-dataset'!AA7/'Export-dataset'!AA4*100</f>
        <v>151.25730371632</v>
      </c>
      <c r="G28" s="10" t="n">
        <f aca="false">'Export-dataset'!AA8/'Export-dataset'!AA4*100</f>
        <v>102.587940292858</v>
      </c>
      <c r="H28" s="10" t="n">
        <f aca="false">'Export-dataset'!AA9/'Export-dataset'!AA4*100</f>
        <v>150.223546944858</v>
      </c>
      <c r="I28" s="10" t="n">
        <f aca="false">'Export-dataset'!AA10/'Export-dataset'!AA4*100</f>
        <v>336.727935088591</v>
      </c>
      <c r="J28" s="10" t="n">
        <f aca="false">'Export-dataset'!AA11/'Export-dataset'!AA4*100</f>
        <v>244.437347716036</v>
      </c>
      <c r="K28" s="10" t="n">
        <f aca="false">'Export-dataset'!AA12/'Export-dataset'!AA4*100</f>
        <v>202.126652946325</v>
      </c>
      <c r="L28" s="10" t="n">
        <f aca="false">'Export-dataset'!AA13/'Export-dataset'!AA4*100</f>
        <v>152.527618101389</v>
      </c>
    </row>
    <row r="29" customFormat="false" ht="15" hidden="false" customHeight="false" outlineLevel="0" collapsed="false">
      <c r="A29" s="0" t="s">
        <v>369</v>
      </c>
      <c r="B29" s="0" t="s">
        <v>370</v>
      </c>
      <c r="C29" s="10" t="n">
        <f aca="false">'Export-dataset'!AB4/'Export-dataset'!AB4*100</f>
        <v>100</v>
      </c>
      <c r="D29" s="10" t="n">
        <f aca="false">'Export-dataset'!AB5/'Export-dataset'!AB4*100</f>
        <v>110.308090987619</v>
      </c>
      <c r="E29" s="10" t="n">
        <f aca="false">'Export-dataset'!AB6/'Export-dataset'!AB4*100</f>
        <v>161.114310394472</v>
      </c>
      <c r="F29" s="10" t="n">
        <f aca="false">'Export-dataset'!AB7/'Export-dataset'!AB4*100</f>
        <v>175.986179095883</v>
      </c>
      <c r="G29" s="10" t="n">
        <f aca="false">'Export-dataset'!AB8/'Export-dataset'!AB4*100</f>
        <v>111.646991073999</v>
      </c>
      <c r="H29" s="10" t="n">
        <f aca="false">'Export-dataset'!AB9/'Export-dataset'!AB4*100</f>
        <v>168.658220558595</v>
      </c>
      <c r="I29" s="10" t="n">
        <f aca="false">'Export-dataset'!AB10/'Export-dataset'!AB4*100</f>
        <v>249.654477397063</v>
      </c>
      <c r="J29" s="10" t="n">
        <f aca="false">'Export-dataset'!AB11/'Export-dataset'!AB4*100</f>
        <v>226.893175928592</v>
      </c>
      <c r="K29" s="10" t="n">
        <f aca="false">'Export-dataset'!AB12/'Export-dataset'!AB4*100</f>
        <v>226.216527497841</v>
      </c>
      <c r="L29" s="10" t="n">
        <f aca="false">'Export-dataset'!AB13/'Export-dataset'!AB4*100</f>
        <v>204.2470486611</v>
      </c>
    </row>
    <row r="30" customFormat="false" ht="15" hidden="false" customHeight="false" outlineLevel="0" collapsed="false">
      <c r="A30" s="0" t="s">
        <v>371</v>
      </c>
      <c r="B30" s="0" t="s">
        <v>372</v>
      </c>
      <c r="C30" s="10" t="n">
        <f aca="false">'Export-dataset'!AC4/'Export-dataset'!AC4*100</f>
        <v>100</v>
      </c>
      <c r="D30" s="10" t="n">
        <f aca="false">'Export-dataset'!AC5/'Export-dataset'!AC4*100</f>
        <v>142.613636363636</v>
      </c>
      <c r="E30" s="10" t="n">
        <f aca="false">'Export-dataset'!AC6/'Export-dataset'!AC4*100</f>
        <v>239.334415584416</v>
      </c>
      <c r="F30" s="10" t="n">
        <f aca="false">'Export-dataset'!AC7/'Export-dataset'!AC4*100</f>
        <v>271.233766233766</v>
      </c>
      <c r="G30" s="10" t="n">
        <f aca="false">'Export-dataset'!AC8/'Export-dataset'!AC4*100</f>
        <v>203.998917748918</v>
      </c>
      <c r="H30" s="10" t="n">
        <f aca="false">'Export-dataset'!AC9/'Export-dataset'!AC4*100</f>
        <v>276.942640692641</v>
      </c>
      <c r="I30" s="10" t="n">
        <f aca="false">'Export-dataset'!AC10/'Export-dataset'!AC4*100</f>
        <v>495.930735930736</v>
      </c>
      <c r="J30" s="10" t="n">
        <f aca="false">'Export-dataset'!AC11/'Export-dataset'!AC4*100</f>
        <v>413.722943722944</v>
      </c>
      <c r="K30" s="10" t="n">
        <f aca="false">'Export-dataset'!AC12/'Export-dataset'!AC4*100</f>
        <v>377.0670995671</v>
      </c>
      <c r="L30" s="10" t="n">
        <f aca="false">'Export-dataset'!AC13/'Export-dataset'!AC4*100</f>
        <v>332.862554112554</v>
      </c>
    </row>
    <row r="32" customFormat="false" ht="16.15" hidden="false" customHeight="false" outlineLevel="0" collapsed="false">
      <c r="A32" s="2" t="s">
        <v>541</v>
      </c>
    </row>
    <row r="33" customFormat="false" ht="41.75" hidden="false" customHeight="false" outlineLevel="0" collapsed="false">
      <c r="A33" s="3" t="s">
        <v>311</v>
      </c>
      <c r="B33" s="3" t="s">
        <v>313</v>
      </c>
      <c r="C33" s="11" t="s">
        <v>542</v>
      </c>
    </row>
    <row r="34" customFormat="false" ht="15" hidden="false" customHeight="false" outlineLevel="0" collapsed="false">
      <c r="A34" s="0" t="s">
        <v>365</v>
      </c>
      <c r="B34" s="0" t="s">
        <v>366</v>
      </c>
      <c r="C34" s="12" t="n">
        <f aca="false">CORREL($C$20:$K$20,$C$20:$K$20)</f>
        <v>1</v>
      </c>
    </row>
    <row r="35" customFormat="false" ht="15" hidden="false" customHeight="false" outlineLevel="0" collapsed="false">
      <c r="A35" s="0" t="s">
        <v>367</v>
      </c>
      <c r="B35" s="0" t="s">
        <v>368</v>
      </c>
      <c r="C35" s="12" t="n">
        <f aca="false">CORREL($C$21:$K$21,$C$20:$K$20)</f>
        <v>0.985574172081443</v>
      </c>
    </row>
    <row r="36" customFormat="false" ht="15" hidden="false" customHeight="false" outlineLevel="0" collapsed="false">
      <c r="A36" s="0" t="s">
        <v>369</v>
      </c>
      <c r="B36" s="0" t="s">
        <v>370</v>
      </c>
      <c r="C36" s="12" t="n">
        <f aca="false">CORREL($C$22:$K$22,$C$20:$K$20)</f>
        <v>0.861673000939238</v>
      </c>
    </row>
    <row r="37" customFormat="false" ht="15" hidden="false" customHeight="false" outlineLevel="0" collapsed="false">
      <c r="A37" s="0" t="s">
        <v>371</v>
      </c>
      <c r="B37" s="0" t="s">
        <v>372</v>
      </c>
      <c r="C37" s="12" t="n">
        <f aca="false">CORREL($C$23:$K$23,$C$20:$K$20)</f>
        <v>0.940594490751774</v>
      </c>
    </row>
    <row r="39" customFormat="false" ht="16.15" hidden="false" customHeight="false" outlineLevel="0" collapsed="false">
      <c r="A39" s="2" t="s">
        <v>485</v>
      </c>
    </row>
    <row r="40" customFormat="false" ht="15" hidden="false" customHeight="false" outlineLevel="0" collapsed="false">
      <c r="A40" s="3" t="s">
        <v>311</v>
      </c>
      <c r="B40" s="3" t="s">
        <v>313</v>
      </c>
      <c r="C40" s="7" t="n">
        <v>2016</v>
      </c>
      <c r="D40" s="7" t="n">
        <v>2017</v>
      </c>
      <c r="E40" s="7" t="n">
        <v>2018</v>
      </c>
      <c r="F40" s="7" t="n">
        <v>2019</v>
      </c>
      <c r="G40" s="7" t="n">
        <v>2020</v>
      </c>
      <c r="H40" s="7" t="n">
        <v>2021</v>
      </c>
      <c r="I40" s="7" t="n">
        <v>2022</v>
      </c>
      <c r="J40" s="7" t="n">
        <v>2023</v>
      </c>
      <c r="K40" s="7" t="n">
        <v>2024</v>
      </c>
      <c r="L40" s="7" t="n">
        <v>2025</v>
      </c>
    </row>
    <row r="41" customFormat="false" ht="15" hidden="false" customHeight="false" outlineLevel="0" collapsed="false">
      <c r="A41" s="0" t="s">
        <v>365</v>
      </c>
      <c r="B41" s="0" t="s">
        <v>366</v>
      </c>
      <c r="C41" s="8" t="n">
        <f aca="false">'Import-dataset'!Z4</f>
        <v>23604</v>
      </c>
      <c r="D41" s="8" t="n">
        <f aca="false">'Import-dataset'!Z5</f>
        <v>29805</v>
      </c>
      <c r="E41" s="8" t="n">
        <f aca="false">'Import-dataset'!Z6</f>
        <v>40512</v>
      </c>
      <c r="F41" s="8" t="n">
        <f aca="false">'Import-dataset'!Z7</f>
        <v>38794</v>
      </c>
      <c r="G41" s="8" t="n">
        <f aca="false">'Import-dataset'!Z8</f>
        <v>23108</v>
      </c>
      <c r="H41" s="8" t="n">
        <f aca="false">'Import-dataset'!Z9</f>
        <v>34552</v>
      </c>
      <c r="I41" s="8" t="n">
        <f aca="false">'Import-dataset'!Z10</f>
        <v>65806</v>
      </c>
      <c r="J41" s="8" t="n">
        <f aca="false">'Import-dataset'!Z11</f>
        <v>60651</v>
      </c>
      <c r="K41" s="8" t="n">
        <f aca="false">'Import-dataset'!Z12</f>
        <v>56749</v>
      </c>
      <c r="L41" s="8" t="n">
        <f aca="false">'Import-dataset'!Z13</f>
        <v>53258</v>
      </c>
    </row>
    <row r="42" customFormat="false" ht="15" hidden="false" customHeight="false" outlineLevel="0" collapsed="false">
      <c r="A42" s="0" t="s">
        <v>367</v>
      </c>
      <c r="B42" s="0" t="s">
        <v>368</v>
      </c>
      <c r="C42" s="8" t="n">
        <f aca="false">'Import-dataset'!AA4</f>
        <v>51</v>
      </c>
      <c r="D42" s="8" t="n">
        <f aca="false">'Import-dataset'!AA5</f>
        <v>139</v>
      </c>
      <c r="E42" s="8" t="n">
        <f aca="false">'Import-dataset'!AA6</f>
        <v>178</v>
      </c>
      <c r="F42" s="8" t="n">
        <f aca="false">'Import-dataset'!AA7</f>
        <v>203</v>
      </c>
      <c r="G42" s="8" t="n">
        <f aca="false">'Import-dataset'!AA8</f>
        <v>148</v>
      </c>
      <c r="H42" s="8" t="n">
        <f aca="false">'Import-dataset'!AA9</f>
        <v>200</v>
      </c>
      <c r="I42" s="8" t="n">
        <f aca="false">'Import-dataset'!AA10</f>
        <v>375</v>
      </c>
      <c r="J42" s="8" t="n">
        <f aca="false">'Import-dataset'!AA11</f>
        <v>306</v>
      </c>
      <c r="K42" s="8" t="n">
        <f aca="false">'Import-dataset'!AA12</f>
        <v>260</v>
      </c>
      <c r="L42" s="8" t="n">
        <f aca="false">'Import-dataset'!AA13</f>
        <v>197</v>
      </c>
    </row>
    <row r="43" customFormat="false" ht="15" hidden="false" customHeight="false" outlineLevel="0" collapsed="false">
      <c r="A43" s="0" t="s">
        <v>369</v>
      </c>
      <c r="B43" s="0" t="s">
        <v>370</v>
      </c>
      <c r="C43" s="8" t="n">
        <f aca="false">'Import-dataset'!AB4</f>
        <v>23315</v>
      </c>
      <c r="D43" s="8" t="n">
        <f aca="false">'Import-dataset'!AB5</f>
        <v>29365</v>
      </c>
      <c r="E43" s="8" t="n">
        <f aca="false">'Import-dataset'!AB6</f>
        <v>39947</v>
      </c>
      <c r="F43" s="8" t="n">
        <f aca="false">'Import-dataset'!AB7</f>
        <v>38357</v>
      </c>
      <c r="G43" s="8" t="n">
        <f aca="false">'Import-dataset'!AB8</f>
        <v>22720</v>
      </c>
      <c r="H43" s="8" t="n">
        <f aca="false">'Import-dataset'!AB9</f>
        <v>34044</v>
      </c>
      <c r="I43" s="8" t="n">
        <f aca="false">'Import-dataset'!AB10</f>
        <v>65082</v>
      </c>
      <c r="J43" s="8" t="n">
        <f aca="false">'Import-dataset'!AB11</f>
        <v>60057</v>
      </c>
      <c r="K43" s="8" t="n">
        <f aca="false">'Import-dataset'!AB12</f>
        <v>56183</v>
      </c>
      <c r="L43" s="8" t="n">
        <f aca="false">'Import-dataset'!AB13</f>
        <v>52742</v>
      </c>
    </row>
    <row r="44" customFormat="false" ht="15" hidden="false" customHeight="false" outlineLevel="0" collapsed="false">
      <c r="A44" s="0" t="s">
        <v>371</v>
      </c>
      <c r="B44" s="0" t="s">
        <v>372</v>
      </c>
      <c r="C44" s="8" t="n">
        <f aca="false">'Import-dataset'!AC4</f>
        <v>238</v>
      </c>
      <c r="D44" s="8" t="n">
        <f aca="false">'Import-dataset'!AC5</f>
        <v>303</v>
      </c>
      <c r="E44" s="8" t="n">
        <f aca="false">'Import-dataset'!AC6</f>
        <v>390</v>
      </c>
      <c r="F44" s="8" t="n">
        <f aca="false">'Import-dataset'!AC7</f>
        <v>236</v>
      </c>
      <c r="G44" s="8" t="n">
        <f aca="false">'Import-dataset'!AC8</f>
        <v>242</v>
      </c>
      <c r="H44" s="8" t="n">
        <f aca="false">'Import-dataset'!AC9</f>
        <v>310</v>
      </c>
      <c r="I44" s="8" t="n">
        <f aca="false">'Import-dataset'!AC10</f>
        <v>352</v>
      </c>
      <c r="J44" s="8" t="n">
        <f aca="false">'Import-dataset'!AC11</f>
        <v>293</v>
      </c>
      <c r="K44" s="8" t="n">
        <f aca="false">'Import-dataset'!AC12</f>
        <v>306</v>
      </c>
      <c r="L44" s="8" t="n">
        <f aca="false">'Import-dataset'!AC13</f>
        <v>317</v>
      </c>
    </row>
    <row r="46" customFormat="false" ht="16.15" hidden="false" customHeight="false" outlineLevel="0" collapsed="false">
      <c r="A46" s="2" t="s">
        <v>543</v>
      </c>
    </row>
    <row r="47" customFormat="false" ht="15" hidden="false" customHeight="false" outlineLevel="0" collapsed="false">
      <c r="A47" s="3" t="s">
        <v>311</v>
      </c>
      <c r="B47" s="3" t="s">
        <v>313</v>
      </c>
      <c r="C47" s="7" t="n">
        <v>2016</v>
      </c>
      <c r="D47" s="7" t="n">
        <v>2017</v>
      </c>
      <c r="E47" s="7" t="n">
        <v>2018</v>
      </c>
      <c r="F47" s="7" t="n">
        <v>2019</v>
      </c>
      <c r="G47" s="7" t="n">
        <v>2020</v>
      </c>
      <c r="H47" s="7" t="n">
        <v>2021</v>
      </c>
      <c r="I47" s="7" t="n">
        <v>2022</v>
      </c>
      <c r="J47" s="7" t="n">
        <v>2023</v>
      </c>
      <c r="K47" s="7" t="n">
        <v>2024</v>
      </c>
      <c r="L47" s="7" t="n">
        <v>2025</v>
      </c>
    </row>
    <row r="48" customFormat="false" ht="15" hidden="false" customHeight="false" outlineLevel="0" collapsed="false">
      <c r="A48" s="0" t="s">
        <v>365</v>
      </c>
      <c r="B48" s="0" t="s">
        <v>366</v>
      </c>
      <c r="C48" s="9" t="n">
        <f aca="false">'Import-dataset'!Z4/'Import-dataset'!Z4</f>
        <v>1</v>
      </c>
      <c r="D48" s="9" t="n">
        <f aca="false">'Import-dataset'!Z5/'Import-dataset'!Z5</f>
        <v>1</v>
      </c>
      <c r="E48" s="9" t="n">
        <f aca="false">'Import-dataset'!Z6/'Import-dataset'!Z6</f>
        <v>1</v>
      </c>
      <c r="F48" s="9" t="n">
        <f aca="false">'Import-dataset'!Z7/'Import-dataset'!Z7</f>
        <v>1</v>
      </c>
      <c r="G48" s="9" t="n">
        <f aca="false">'Import-dataset'!Z8/'Import-dataset'!Z8</f>
        <v>1</v>
      </c>
      <c r="H48" s="9" t="n">
        <f aca="false">'Import-dataset'!Z9/'Import-dataset'!Z9</f>
        <v>1</v>
      </c>
      <c r="I48" s="9" t="n">
        <f aca="false">'Import-dataset'!Z10/'Import-dataset'!Z10</f>
        <v>1</v>
      </c>
      <c r="J48" s="9" t="n">
        <f aca="false">'Import-dataset'!Z11/'Import-dataset'!Z11</f>
        <v>1</v>
      </c>
      <c r="K48" s="9" t="n">
        <f aca="false">'Import-dataset'!Z12/'Import-dataset'!Z12</f>
        <v>1</v>
      </c>
      <c r="L48" s="9" t="n">
        <f aca="false">'Import-dataset'!Z13/'Import-dataset'!Z13</f>
        <v>1</v>
      </c>
    </row>
    <row r="49" customFormat="false" ht="15" hidden="false" customHeight="false" outlineLevel="0" collapsed="false">
      <c r="A49" s="0" t="s">
        <v>367</v>
      </c>
      <c r="B49" s="0" t="s">
        <v>368</v>
      </c>
      <c r="C49" s="9" t="n">
        <f aca="false">'Import-dataset'!AA4/'Import-dataset'!Z4</f>
        <v>0.00216065073716319</v>
      </c>
      <c r="D49" s="9" t="n">
        <f aca="false">'Import-dataset'!AA5/'Import-dataset'!Z5</f>
        <v>0.0046636470390874</v>
      </c>
      <c r="E49" s="9" t="n">
        <f aca="false">'Import-dataset'!AA6/'Import-dataset'!Z6</f>
        <v>0.00439375987361769</v>
      </c>
      <c r="F49" s="9" t="n">
        <f aca="false">'Import-dataset'!AA7/'Import-dataset'!Z7</f>
        <v>0.00523276795380729</v>
      </c>
      <c r="G49" s="9" t="n">
        <f aca="false">'Import-dataset'!AA8/'Import-dataset'!Z8</f>
        <v>0.00640470832612082</v>
      </c>
      <c r="H49" s="9" t="n">
        <f aca="false">'Import-dataset'!AA9/'Import-dataset'!Z9</f>
        <v>0.00578837693910628</v>
      </c>
      <c r="I49" s="9" t="n">
        <f aca="false">'Import-dataset'!AA10/'Import-dataset'!Z10</f>
        <v>0.00569856851958788</v>
      </c>
      <c r="J49" s="9" t="n">
        <f aca="false">'Import-dataset'!AA11/'Import-dataset'!Z11</f>
        <v>0.00504525894049562</v>
      </c>
      <c r="K49" s="9" t="n">
        <f aca="false">'Import-dataset'!AA12/'Import-dataset'!Z12</f>
        <v>0.00458157853001815</v>
      </c>
      <c r="L49" s="9" t="n">
        <f aca="false">'Import-dataset'!AA13/'Import-dataset'!Z13</f>
        <v>0.00369897480190769</v>
      </c>
    </row>
    <row r="50" customFormat="false" ht="15" hidden="false" customHeight="false" outlineLevel="0" collapsed="false">
      <c r="A50" s="0" t="s">
        <v>369</v>
      </c>
      <c r="B50" s="0" t="s">
        <v>370</v>
      </c>
      <c r="C50" s="9" t="n">
        <f aca="false">'Import-dataset'!AB4/'Import-dataset'!Z4</f>
        <v>0.987756312489409</v>
      </c>
      <c r="D50" s="9" t="n">
        <f aca="false">'Import-dataset'!AB5/'Import-dataset'!Z5</f>
        <v>0.985237376279148</v>
      </c>
      <c r="E50" s="9" t="n">
        <f aca="false">'Import-dataset'!AB6/'Import-dataset'!Z6</f>
        <v>0.986053515007899</v>
      </c>
      <c r="F50" s="9" t="n">
        <f aca="false">'Import-dataset'!AB7/'Import-dataset'!Z7</f>
        <v>0.988735371449193</v>
      </c>
      <c r="G50" s="9" t="n">
        <f aca="false">'Import-dataset'!AB8/'Import-dataset'!Z8</f>
        <v>0.983209278172062</v>
      </c>
      <c r="H50" s="9" t="n">
        <f aca="false">'Import-dataset'!AB9/'Import-dataset'!Z9</f>
        <v>0.98529752257467</v>
      </c>
      <c r="I50" s="9" t="n">
        <f aca="false">'Import-dataset'!AB10/'Import-dataset'!Z10</f>
        <v>0.988997963711516</v>
      </c>
      <c r="J50" s="9" t="n">
        <f aca="false">'Import-dataset'!AB11/'Import-dataset'!Z11</f>
        <v>0.990206262056685</v>
      </c>
      <c r="K50" s="9" t="n">
        <f aca="false">'Import-dataset'!AB12/'Import-dataset'!Z12</f>
        <v>0.990026255969268</v>
      </c>
      <c r="L50" s="9" t="n">
        <f aca="false">'Import-dataset'!AB13/'Import-dataset'!Z13</f>
        <v>0.990311314732059</v>
      </c>
    </row>
    <row r="51" customFormat="false" ht="15" hidden="false" customHeight="false" outlineLevel="0" collapsed="false">
      <c r="A51" s="0" t="s">
        <v>371</v>
      </c>
      <c r="B51" s="0" t="s">
        <v>372</v>
      </c>
      <c r="C51" s="9" t="n">
        <f aca="false">'Import-dataset'!AC4/'Import-dataset'!Z4</f>
        <v>0.0100830367734282</v>
      </c>
      <c r="D51" s="9" t="n">
        <f aca="false">'Import-dataset'!AC5/'Import-dataset'!Z5</f>
        <v>0.0101660795168596</v>
      </c>
      <c r="E51" s="9" t="n">
        <f aca="false">'Import-dataset'!AC6/'Import-dataset'!Z6</f>
        <v>0.00962677725118484</v>
      </c>
      <c r="F51" s="9" t="n">
        <f aca="false">'Import-dataset'!AC7/'Import-dataset'!Z7</f>
        <v>0.00608341496107646</v>
      </c>
      <c r="G51" s="9" t="n">
        <f aca="false">'Import-dataset'!AC8/'Import-dataset'!Z8</f>
        <v>0.0104725636143327</v>
      </c>
      <c r="H51" s="9" t="n">
        <f aca="false">'Import-dataset'!AC9/'Import-dataset'!Z9</f>
        <v>0.00897198425561473</v>
      </c>
      <c r="I51" s="9" t="n">
        <f aca="false">'Import-dataset'!AC10/'Import-dataset'!Z10</f>
        <v>0.00534905631705316</v>
      </c>
      <c r="J51" s="9" t="n">
        <f aca="false">'Import-dataset'!AC11/'Import-dataset'!Z11</f>
        <v>0.00483091787439614</v>
      </c>
      <c r="K51" s="9" t="n">
        <f aca="false">'Import-dataset'!AC12/'Import-dataset'!Z12</f>
        <v>0.00539216550071367</v>
      </c>
      <c r="L51" s="9" t="n">
        <f aca="false">'Import-dataset'!AC13/'Import-dataset'!Z13</f>
        <v>0.00595215742235908</v>
      </c>
    </row>
    <row r="53" customFormat="false" ht="16.15" hidden="false" customHeight="false" outlineLevel="0" collapsed="false">
      <c r="A53" s="2" t="s">
        <v>486</v>
      </c>
    </row>
    <row r="54" customFormat="false" ht="15" hidden="false" customHeight="false" outlineLevel="0" collapsed="false">
      <c r="A54" s="3" t="s">
        <v>311</v>
      </c>
      <c r="B54" s="3" t="s">
        <v>313</v>
      </c>
      <c r="C54" s="7" t="n">
        <v>2017</v>
      </c>
      <c r="D54" s="7" t="n">
        <v>2018</v>
      </c>
      <c r="E54" s="7" t="n">
        <v>2019</v>
      </c>
      <c r="F54" s="7" t="n">
        <v>2020</v>
      </c>
      <c r="G54" s="7" t="n">
        <v>2021</v>
      </c>
      <c r="H54" s="7" t="n">
        <v>2022</v>
      </c>
      <c r="I54" s="7" t="n">
        <v>2023</v>
      </c>
      <c r="J54" s="7" t="n">
        <v>2024</v>
      </c>
      <c r="K54" s="7" t="n">
        <v>2025</v>
      </c>
    </row>
    <row r="55" customFormat="false" ht="15" hidden="false" customHeight="false" outlineLevel="0" collapsed="false">
      <c r="A55" s="0" t="s">
        <v>365</v>
      </c>
      <c r="B55" s="0" t="s">
        <v>366</v>
      </c>
      <c r="C55" s="9" t="n">
        <f aca="false">'Import-dataset'!Z5/'Import-dataset'!Z4-1</f>
        <v>0.262709710218607</v>
      </c>
      <c r="D55" s="9" t="n">
        <f aca="false">'Import-dataset'!Z6/'Import-dataset'!Z5-1</f>
        <v>0.359235027679919</v>
      </c>
      <c r="E55" s="9" t="n">
        <f aca="false">'Import-dataset'!Z7/'Import-dataset'!Z6-1</f>
        <v>-0.0424071879936809</v>
      </c>
      <c r="F55" s="9" t="n">
        <f aca="false">'Import-dataset'!Z8/'Import-dataset'!Z7-1</f>
        <v>-0.404340877455277</v>
      </c>
      <c r="G55" s="9" t="n">
        <f aca="false">'Import-dataset'!Z9/'Import-dataset'!Z8-1</f>
        <v>0.495239743811667</v>
      </c>
      <c r="H55" s="9" t="n">
        <f aca="false">'Import-dataset'!Z10/'Import-dataset'!Z9-1</f>
        <v>0.904549664274138</v>
      </c>
      <c r="I55" s="9" t="n">
        <f aca="false">'Import-dataset'!Z11/'Import-dataset'!Z10-1</f>
        <v>-0.0783363219159348</v>
      </c>
      <c r="J55" s="9" t="n">
        <f aca="false">'Import-dataset'!Z12/'Import-dataset'!Z11-1</f>
        <v>-0.0643352953784768</v>
      </c>
      <c r="K55" s="9" t="n">
        <f aca="false">'Import-dataset'!Z13/'Import-dataset'!Z12-1</f>
        <v>-0.061516502493436</v>
      </c>
    </row>
    <row r="56" customFormat="false" ht="15" hidden="false" customHeight="false" outlineLevel="0" collapsed="false">
      <c r="A56" s="0" t="s">
        <v>367</v>
      </c>
      <c r="B56" s="0" t="s">
        <v>368</v>
      </c>
      <c r="C56" s="9" t="n">
        <f aca="false">'Import-dataset'!AA5/'Import-dataset'!AA4-1</f>
        <v>1.72549019607843</v>
      </c>
      <c r="D56" s="9" t="n">
        <f aca="false">'Import-dataset'!AA6/'Import-dataset'!AA5-1</f>
        <v>0.280575539568345</v>
      </c>
      <c r="E56" s="9" t="n">
        <f aca="false">'Import-dataset'!AA7/'Import-dataset'!AA6-1</f>
        <v>0.140449438202247</v>
      </c>
      <c r="F56" s="9" t="n">
        <f aca="false">'Import-dataset'!AA8/'Import-dataset'!AA7-1</f>
        <v>-0.270935960591133</v>
      </c>
      <c r="G56" s="9" t="n">
        <f aca="false">'Import-dataset'!AA9/'Import-dataset'!AA8-1</f>
        <v>0.351351351351351</v>
      </c>
      <c r="H56" s="9" t="n">
        <f aca="false">'Import-dataset'!AA10/'Import-dataset'!AA9-1</f>
        <v>0.875</v>
      </c>
      <c r="I56" s="9" t="n">
        <f aca="false">'Import-dataset'!AA11/'Import-dataset'!AA10-1</f>
        <v>-0.184</v>
      </c>
      <c r="J56" s="9" t="n">
        <f aca="false">'Import-dataset'!AA12/'Import-dataset'!AA11-1</f>
        <v>-0.150326797385621</v>
      </c>
      <c r="K56" s="9" t="n">
        <f aca="false">'Import-dataset'!AA13/'Import-dataset'!AA12-1</f>
        <v>-0.242307692307692</v>
      </c>
    </row>
    <row r="57" customFormat="false" ht="15" hidden="false" customHeight="false" outlineLevel="0" collapsed="false">
      <c r="A57" s="0" t="s">
        <v>369</v>
      </c>
      <c r="B57" s="0" t="s">
        <v>370</v>
      </c>
      <c r="C57" s="9" t="n">
        <f aca="false">'Import-dataset'!AB5/'Import-dataset'!AB4-1</f>
        <v>0.25948959897062</v>
      </c>
      <c r="D57" s="9" t="n">
        <f aca="false">'Import-dataset'!AB6/'Import-dataset'!AB5-1</f>
        <v>0.360360973948578</v>
      </c>
      <c r="E57" s="9" t="n">
        <f aca="false">'Import-dataset'!AB7/'Import-dataset'!AB6-1</f>
        <v>-0.039802738628683</v>
      </c>
      <c r="F57" s="9" t="n">
        <f aca="false">'Import-dataset'!AB8/'Import-dataset'!AB7-1</f>
        <v>-0.407670047188258</v>
      </c>
      <c r="G57" s="9" t="n">
        <f aca="false">'Import-dataset'!AB9/'Import-dataset'!AB8-1</f>
        <v>0.498415492957746</v>
      </c>
      <c r="H57" s="9" t="n">
        <f aca="false">'Import-dataset'!AB10/'Import-dataset'!AB9-1</f>
        <v>0.911702502643638</v>
      </c>
      <c r="I57" s="9" t="n">
        <f aca="false">'Import-dataset'!AB11/'Import-dataset'!AB10-1</f>
        <v>-0.0772102885590486</v>
      </c>
      <c r="J57" s="9" t="n">
        <f aca="false">'Import-dataset'!AB12/'Import-dataset'!AB11-1</f>
        <v>-0.0645053865494447</v>
      </c>
      <c r="K57" s="9" t="n">
        <f aca="false">'Import-dataset'!AB13/'Import-dataset'!AB12-1</f>
        <v>-0.0612462844632719</v>
      </c>
    </row>
    <row r="58" customFormat="false" ht="15" hidden="false" customHeight="false" outlineLevel="0" collapsed="false">
      <c r="A58" s="0" t="s">
        <v>371</v>
      </c>
      <c r="B58" s="0" t="s">
        <v>372</v>
      </c>
      <c r="C58" s="9" t="n">
        <f aca="false">'Import-dataset'!AC5/'Import-dataset'!AC4-1</f>
        <v>0.273109243697479</v>
      </c>
      <c r="D58" s="9" t="n">
        <f aca="false">'Import-dataset'!AC6/'Import-dataset'!AC5-1</f>
        <v>0.287128712871287</v>
      </c>
      <c r="E58" s="9" t="n">
        <f aca="false">'Import-dataset'!AC7/'Import-dataset'!AC6-1</f>
        <v>-0.394871794871795</v>
      </c>
      <c r="F58" s="9" t="n">
        <f aca="false">'Import-dataset'!AC8/'Import-dataset'!AC7-1</f>
        <v>0.0254237288135593</v>
      </c>
      <c r="G58" s="9" t="n">
        <f aca="false">'Import-dataset'!AC9/'Import-dataset'!AC8-1</f>
        <v>0.28099173553719</v>
      </c>
      <c r="H58" s="9" t="n">
        <f aca="false">'Import-dataset'!AC10/'Import-dataset'!AC9-1</f>
        <v>0.135483870967742</v>
      </c>
      <c r="I58" s="9" t="n">
        <f aca="false">'Import-dataset'!AC11/'Import-dataset'!AC10-1</f>
        <v>-0.167613636363636</v>
      </c>
      <c r="J58" s="9" t="n">
        <f aca="false">'Import-dataset'!AC12/'Import-dataset'!AC11-1</f>
        <v>0.0443686006825939</v>
      </c>
      <c r="K58" s="9" t="n">
        <f aca="false">'Import-dataset'!AC13/'Import-dataset'!AC12-1</f>
        <v>0.0359477124183008</v>
      </c>
    </row>
    <row r="60" customFormat="false" ht="16.15" hidden="false" customHeight="false" outlineLevel="0" collapsed="false">
      <c r="A60" s="2" t="s">
        <v>487</v>
      </c>
    </row>
    <row r="61" customFormat="false" ht="15" hidden="false" customHeight="false" outlineLevel="0" collapsed="false">
      <c r="A61" s="3" t="s">
        <v>311</v>
      </c>
      <c r="B61" s="3" t="s">
        <v>313</v>
      </c>
      <c r="C61" s="7" t="n">
        <v>2016</v>
      </c>
      <c r="D61" s="7" t="n">
        <v>2017</v>
      </c>
      <c r="E61" s="7" t="n">
        <v>2018</v>
      </c>
      <c r="F61" s="7" t="n">
        <v>2019</v>
      </c>
      <c r="G61" s="7" t="n">
        <v>2020</v>
      </c>
      <c r="H61" s="7" t="n">
        <v>2021</v>
      </c>
      <c r="I61" s="7" t="n">
        <v>2022</v>
      </c>
      <c r="J61" s="7" t="n">
        <v>2023</v>
      </c>
      <c r="K61" s="7" t="n">
        <v>2024</v>
      </c>
      <c r="L61" s="7" t="n">
        <v>2025</v>
      </c>
    </row>
    <row r="62" customFormat="false" ht="15" hidden="false" customHeight="false" outlineLevel="0" collapsed="false">
      <c r="A62" s="0" t="s">
        <v>365</v>
      </c>
      <c r="B62" s="0" t="s">
        <v>366</v>
      </c>
      <c r="C62" s="10" t="n">
        <f aca="false">'Import-dataset'!Z4/'Import-dataset'!Z4*100</f>
        <v>100</v>
      </c>
      <c r="D62" s="10" t="n">
        <f aca="false">'Import-dataset'!Z5/'Import-dataset'!Z4*100</f>
        <v>126.270971021861</v>
      </c>
      <c r="E62" s="10" t="n">
        <f aca="false">'Import-dataset'!Z6/'Import-dataset'!Z4*100</f>
        <v>171.631926792069</v>
      </c>
      <c r="F62" s="10" t="n">
        <f aca="false">'Import-dataset'!Z7/'Import-dataset'!Z4*100</f>
        <v>164.35349940688</v>
      </c>
      <c r="G62" s="10" t="n">
        <f aca="false">'Import-dataset'!Z8/'Import-dataset'!Z4*100</f>
        <v>97.898661243857</v>
      </c>
      <c r="H62" s="10" t="n">
        <f aca="false">'Import-dataset'!Z9/'Import-dataset'!Z4*100</f>
        <v>146.38196915777</v>
      </c>
      <c r="I62" s="10" t="n">
        <f aca="false">'Import-dataset'!Z10/'Import-dataset'!Z4*100</f>
        <v>278.791730215218</v>
      </c>
      <c r="J62" s="10" t="n">
        <f aca="false">'Import-dataset'!Z11/'Import-dataset'!Z4*100</f>
        <v>256.952211489578</v>
      </c>
      <c r="K62" s="10" t="n">
        <f aca="false">'Import-dataset'!Z12/'Import-dataset'!Z4*100</f>
        <v>240.421115065243</v>
      </c>
      <c r="L62" s="10" t="n">
        <f aca="false">'Import-dataset'!Z13/'Import-dataset'!Z4*100</f>
        <v>225.631248940858</v>
      </c>
    </row>
    <row r="63" customFormat="false" ht="15" hidden="false" customHeight="false" outlineLevel="0" collapsed="false">
      <c r="A63" s="0" t="s">
        <v>367</v>
      </c>
      <c r="B63" s="0" t="s">
        <v>368</v>
      </c>
      <c r="C63" s="10" t="n">
        <f aca="false">'Import-dataset'!AA4/'Import-dataset'!AA4*100</f>
        <v>100</v>
      </c>
      <c r="D63" s="10" t="n">
        <f aca="false">'Import-dataset'!AA5/'Import-dataset'!AA4*100</f>
        <v>272.549019607843</v>
      </c>
      <c r="E63" s="10" t="n">
        <f aca="false">'Import-dataset'!AA6/'Import-dataset'!AA4*100</f>
        <v>349.019607843137</v>
      </c>
      <c r="F63" s="10" t="n">
        <f aca="false">'Import-dataset'!AA7/'Import-dataset'!AA4*100</f>
        <v>398.039215686275</v>
      </c>
      <c r="G63" s="10" t="n">
        <f aca="false">'Import-dataset'!AA8/'Import-dataset'!AA4*100</f>
        <v>290.196078431373</v>
      </c>
      <c r="H63" s="10" t="n">
        <f aca="false">'Import-dataset'!AA9/'Import-dataset'!AA4*100</f>
        <v>392.156862745098</v>
      </c>
      <c r="I63" s="10" t="n">
        <f aca="false">'Import-dataset'!AA10/'Import-dataset'!AA4*100</f>
        <v>735.294117647059</v>
      </c>
      <c r="J63" s="10" t="n">
        <f aca="false">'Import-dataset'!AA11/'Import-dataset'!AA4*100</f>
        <v>600</v>
      </c>
      <c r="K63" s="10" t="n">
        <f aca="false">'Import-dataset'!AA12/'Import-dataset'!AA4*100</f>
        <v>509.803921568627</v>
      </c>
      <c r="L63" s="10" t="n">
        <f aca="false">'Import-dataset'!AA13/'Import-dataset'!AA4*100</f>
        <v>386.274509803922</v>
      </c>
    </row>
    <row r="64" customFormat="false" ht="15" hidden="false" customHeight="false" outlineLevel="0" collapsed="false">
      <c r="A64" s="0" t="s">
        <v>369</v>
      </c>
      <c r="B64" s="0" t="s">
        <v>370</v>
      </c>
      <c r="C64" s="10" t="n">
        <f aca="false">'Import-dataset'!AB4/'Import-dataset'!AB4*100</f>
        <v>100</v>
      </c>
      <c r="D64" s="10" t="n">
        <f aca="false">'Import-dataset'!AB5/'Import-dataset'!AB4*100</f>
        <v>125.948959897062</v>
      </c>
      <c r="E64" s="10" t="n">
        <f aca="false">'Import-dataset'!AB6/'Import-dataset'!AB4*100</f>
        <v>171.336049753378</v>
      </c>
      <c r="F64" s="10" t="n">
        <f aca="false">'Import-dataset'!AB7/'Import-dataset'!AB4*100</f>
        <v>164.516405747373</v>
      </c>
      <c r="G64" s="10" t="n">
        <f aca="false">'Import-dataset'!AB8/'Import-dataset'!AB4*100</f>
        <v>97.4479948530989</v>
      </c>
      <c r="H64" s="10" t="n">
        <f aca="false">'Import-dataset'!AB9/'Import-dataset'!AB4*100</f>
        <v>146.01758524555</v>
      </c>
      <c r="I64" s="10" t="n">
        <f aca="false">'Import-dataset'!AB10/'Import-dataset'!AB4*100</f>
        <v>279.142183143899</v>
      </c>
      <c r="J64" s="10" t="n">
        <f aca="false">'Import-dataset'!AB11/'Import-dataset'!AB4*100</f>
        <v>257.589534634356</v>
      </c>
      <c r="K64" s="10" t="n">
        <f aca="false">'Import-dataset'!AB12/'Import-dataset'!AB4*100</f>
        <v>240.973622131675</v>
      </c>
      <c r="L64" s="10" t="n">
        <f aca="false">'Import-dataset'!AB13/'Import-dataset'!AB4*100</f>
        <v>226.214883122453</v>
      </c>
    </row>
    <row r="65" customFormat="false" ht="15" hidden="false" customHeight="false" outlineLevel="0" collapsed="false">
      <c r="A65" s="0" t="s">
        <v>371</v>
      </c>
      <c r="B65" s="0" t="s">
        <v>372</v>
      </c>
      <c r="C65" s="10" t="n">
        <f aca="false">'Import-dataset'!AC4/'Import-dataset'!AC4*100</f>
        <v>100</v>
      </c>
      <c r="D65" s="10" t="n">
        <f aca="false">'Import-dataset'!AC5/'Import-dataset'!AC4*100</f>
        <v>127.310924369748</v>
      </c>
      <c r="E65" s="10" t="n">
        <f aca="false">'Import-dataset'!AC6/'Import-dataset'!AC4*100</f>
        <v>163.865546218487</v>
      </c>
      <c r="F65" s="10" t="n">
        <f aca="false">'Import-dataset'!AC7/'Import-dataset'!AC4*100</f>
        <v>99.1596638655462</v>
      </c>
      <c r="G65" s="10" t="n">
        <f aca="false">'Import-dataset'!AC8/'Import-dataset'!AC4*100</f>
        <v>101.680672268908</v>
      </c>
      <c r="H65" s="10" t="n">
        <f aca="false">'Import-dataset'!AC9/'Import-dataset'!AC4*100</f>
        <v>130.252100840336</v>
      </c>
      <c r="I65" s="10" t="n">
        <f aca="false">'Import-dataset'!AC10/'Import-dataset'!AC4*100</f>
        <v>147.899159663866</v>
      </c>
      <c r="J65" s="10" t="n">
        <f aca="false">'Import-dataset'!AC11/'Import-dataset'!AC4*100</f>
        <v>123.109243697479</v>
      </c>
      <c r="K65" s="10" t="n">
        <f aca="false">'Import-dataset'!AC12/'Import-dataset'!AC4*100</f>
        <v>128.571428571429</v>
      </c>
      <c r="L65" s="10" t="n">
        <f aca="false">'Import-dataset'!AC13/'Import-dataset'!AC4*100</f>
        <v>133.193277310924</v>
      </c>
    </row>
    <row r="67" customFormat="false" ht="16.15" hidden="false" customHeight="false" outlineLevel="0" collapsed="false">
      <c r="A67" s="2" t="s">
        <v>544</v>
      </c>
    </row>
    <row r="68" customFormat="false" ht="41.75" hidden="false" customHeight="false" outlineLevel="0" collapsed="false">
      <c r="A68" s="3" t="s">
        <v>311</v>
      </c>
      <c r="B68" s="3" t="s">
        <v>313</v>
      </c>
      <c r="C68" s="11" t="s">
        <v>542</v>
      </c>
    </row>
    <row r="69" customFormat="false" ht="15" hidden="false" customHeight="false" outlineLevel="0" collapsed="false">
      <c r="A69" s="0" t="s">
        <v>365</v>
      </c>
      <c r="B69" s="0" t="s">
        <v>366</v>
      </c>
      <c r="C69" s="12" t="n">
        <f aca="false">CORREL($C$55:$K$55,$C$55:$K$55)</f>
        <v>1</v>
      </c>
    </row>
    <row r="70" customFormat="false" ht="15" hidden="false" customHeight="false" outlineLevel="0" collapsed="false">
      <c r="A70" s="0" t="s">
        <v>367</v>
      </c>
      <c r="B70" s="0" t="s">
        <v>368</v>
      </c>
      <c r="C70" s="12" t="n">
        <f aca="false">CORREL($C$56:$K$56,$C$55:$K$55)</f>
        <v>0.620104694996859</v>
      </c>
    </row>
    <row r="71" customFormat="false" ht="15" hidden="false" customHeight="false" outlineLevel="0" collapsed="false">
      <c r="A71" s="0" t="s">
        <v>369</v>
      </c>
      <c r="B71" s="0" t="s">
        <v>370</v>
      </c>
      <c r="C71" s="12" t="n">
        <f aca="false">CORREL($C$57:$K$57,$C$55:$K$55)</f>
        <v>0.999984343838562</v>
      </c>
    </row>
    <row r="72" customFormat="false" ht="15" hidden="false" customHeight="false" outlineLevel="0" collapsed="false">
      <c r="A72" s="0" t="s">
        <v>371</v>
      </c>
      <c r="B72" s="0" t="s">
        <v>372</v>
      </c>
      <c r="C72" s="12" t="n">
        <f aca="false">CORREL($C$58:$K$58,$C$55:$K$55)</f>
        <v>0.521890042917416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4"/>
    <col collapsed="false" customWidth="true" hidden="false" outlineLevel="0" max="5" min="5" style="0" width="11"/>
    <col collapsed="false" customWidth="true" hidden="false" outlineLevel="0" max="7" min="6" style="0" width="12"/>
    <col collapsed="false" customWidth="true" hidden="false" outlineLevel="0" max="9" min="8" style="0" width="14"/>
    <col collapsed="false" customWidth="true" hidden="false" outlineLevel="0" max="11" min="10" style="0" width="12"/>
    <col collapsed="false" customWidth="true" hidden="false" outlineLevel="0" max="12" min="12" style="0" width="82"/>
  </cols>
  <sheetData>
    <row r="1" customFormat="false" ht="16.15" hidden="false" customHeight="false" outlineLevel="0" collapsed="false">
      <c r="A1" s="2" t="s">
        <v>545</v>
      </c>
    </row>
    <row r="2" customFormat="false" ht="15" hidden="false" customHeight="false" outlineLevel="0" collapsed="false">
      <c r="A2" s="0" t="s">
        <v>546</v>
      </c>
    </row>
    <row r="4" customFormat="false" ht="41.75" hidden="false" customHeight="false" outlineLevel="0" collapsed="false">
      <c r="A4" s="15" t="s">
        <v>59</v>
      </c>
      <c r="B4" s="15" t="s">
        <v>547</v>
      </c>
      <c r="C4" s="15" t="s">
        <v>548</v>
      </c>
      <c r="D4" s="15" t="s">
        <v>549</v>
      </c>
      <c r="E4" s="15" t="s">
        <v>550</v>
      </c>
      <c r="F4" s="15" t="s">
        <v>551</v>
      </c>
      <c r="G4" s="15" t="s">
        <v>552</v>
      </c>
      <c r="H4" s="15" t="s">
        <v>553</v>
      </c>
      <c r="I4" s="15" t="s">
        <v>554</v>
      </c>
      <c r="J4" s="15" t="s">
        <v>555</v>
      </c>
      <c r="K4" s="15" t="s">
        <v>556</v>
      </c>
      <c r="L4" s="15" t="s">
        <v>557</v>
      </c>
    </row>
    <row r="5" customFormat="false" ht="15" hidden="false" customHeight="false" outlineLevel="0" collapsed="false">
      <c r="A5" s="0" t="n">
        <v>2016</v>
      </c>
      <c r="B5" s="6" t="n">
        <f aca="false">'Export-dataset'!AB4</f>
        <v>6946</v>
      </c>
      <c r="C5" s="6" t="n">
        <f aca="false">'Import-dataset'!AB4</f>
        <v>23315</v>
      </c>
      <c r="D5" s="6" t="n">
        <f aca="false">'Export-dataset'!AB4-'Import-dataset'!AB4</f>
        <v>-16369</v>
      </c>
      <c r="E5" s="17" t="n">
        <f aca="false">'Export-dataset'!AB4/'Import-dataset'!AB4</f>
        <v>0.297919794123955</v>
      </c>
      <c r="L5" s="16" t="s">
        <v>558</v>
      </c>
    </row>
    <row r="6" customFormat="false" ht="15" hidden="false" customHeight="false" outlineLevel="0" collapsed="false">
      <c r="A6" s="0" t="n">
        <v>2017</v>
      </c>
      <c r="B6" s="6" t="n">
        <f aca="false">'Export-dataset'!AB5</f>
        <v>7662</v>
      </c>
      <c r="C6" s="6" t="n">
        <f aca="false">'Import-dataset'!AB5</f>
        <v>29365</v>
      </c>
      <c r="D6" s="6" t="n">
        <f aca="false">'Export-dataset'!AB5-'Import-dataset'!AB5</f>
        <v>-21703</v>
      </c>
      <c r="E6" s="17" t="n">
        <f aca="false">'Export-dataset'!AB5/'Import-dataset'!AB5</f>
        <v>0.260922867359101</v>
      </c>
      <c r="F6" s="18" t="n">
        <f aca="false">'Export-dataset'!AB5/'Export-dataset'!AB4-1</f>
        <v>0.103080909876188</v>
      </c>
      <c r="G6" s="18" t="n">
        <f aca="false">'Import-dataset'!AB5/'Import-dataset'!AB4-1</f>
        <v>0.25948959897062</v>
      </c>
      <c r="J6" s="17" t="n">
        <f aca="false">(F6-AVERAGE($F$6:$F$14))/STDEVP($F$6:$F$14)</f>
        <v>-0.0627861379116284</v>
      </c>
      <c r="K6" s="17" t="n">
        <f aca="false">(G6-AVERAGE($G$6:$G$14))/STDEVP($G$6:$G$14)</f>
        <v>0.28532760797439</v>
      </c>
      <c r="L6" s="16" t="s">
        <v>559</v>
      </c>
    </row>
    <row r="7" customFormat="false" ht="15" hidden="false" customHeight="false" outlineLevel="0" collapsed="false">
      <c r="A7" s="0" t="n">
        <v>2018</v>
      </c>
      <c r="B7" s="6" t="n">
        <f aca="false">'Export-dataset'!AB6</f>
        <v>11191</v>
      </c>
      <c r="C7" s="6" t="n">
        <f aca="false">'Import-dataset'!AB6</f>
        <v>39947</v>
      </c>
      <c r="D7" s="6" t="n">
        <f aca="false">'Export-dataset'!AB6-'Import-dataset'!AB6</f>
        <v>-28756</v>
      </c>
      <c r="E7" s="17" t="n">
        <f aca="false">'Export-dataset'!AB6/'Import-dataset'!AB6</f>
        <v>0.280146193706661</v>
      </c>
      <c r="F7" s="18" t="n">
        <f aca="false">'Export-dataset'!AB6/'Export-dataset'!AB5-1</f>
        <v>0.460584703732707</v>
      </c>
      <c r="G7" s="18" t="n">
        <f aca="false">'Import-dataset'!AB6/'Import-dataset'!AB5-1</f>
        <v>0.360360973948578</v>
      </c>
      <c r="H7" s="6" t="n">
        <f aca="false">AVERAGE('Export-dataset'!AB4,'Export-dataset'!AB5,'Export-dataset'!AB6)</f>
        <v>8599.66666666667</v>
      </c>
      <c r="I7" s="6" t="n">
        <f aca="false">AVERAGE('Import-dataset'!AB4,'Import-dataset'!AB5,'Import-dataset'!AB6)</f>
        <v>30875.6666666667</v>
      </c>
      <c r="J7" s="17" t="n">
        <f aca="false">(F7-AVERAGE($F$6:$F$14))/STDEVP($F$6:$F$14)</f>
        <v>1.18224450594509</v>
      </c>
      <c r="K7" s="17" t="n">
        <f aca="false">(G7-AVERAGE($G$6:$G$14))/STDEVP($G$6:$G$14)</f>
        <v>0.556318221157601</v>
      </c>
      <c r="L7" s="16" t="s">
        <v>560</v>
      </c>
    </row>
    <row r="8" customFormat="false" ht="28.35" hidden="false" customHeight="false" outlineLevel="0" collapsed="false">
      <c r="A8" s="0" t="n">
        <v>2019</v>
      </c>
      <c r="B8" s="6" t="n">
        <f aca="false">'Export-dataset'!AB7</f>
        <v>12224</v>
      </c>
      <c r="C8" s="6" t="n">
        <f aca="false">'Import-dataset'!AB7</f>
        <v>38357</v>
      </c>
      <c r="D8" s="6" t="n">
        <f aca="false">'Export-dataset'!AB7-'Import-dataset'!AB7</f>
        <v>-26133</v>
      </c>
      <c r="E8" s="17" t="n">
        <f aca="false">'Export-dataset'!AB7/'Import-dataset'!AB7</f>
        <v>0.318690199963501</v>
      </c>
      <c r="F8" s="18" t="n">
        <f aca="false">'Export-dataset'!AB7/'Export-dataset'!AB6-1</f>
        <v>0.0923063175766241</v>
      </c>
      <c r="G8" s="18" t="n">
        <f aca="false">'Import-dataset'!AB7/'Import-dataset'!AB6-1</f>
        <v>-0.039802738628683</v>
      </c>
      <c r="H8" s="6" t="n">
        <f aca="false">AVERAGE('Export-dataset'!AB5,'Export-dataset'!AB6,'Export-dataset'!AB7)</f>
        <v>10359</v>
      </c>
      <c r="I8" s="6" t="n">
        <f aca="false">AVERAGE('Import-dataset'!AB5,'Import-dataset'!AB6,'Import-dataset'!AB7)</f>
        <v>35889.6666666667</v>
      </c>
      <c r="J8" s="17" t="n">
        <f aca="false">(F8-AVERAGE($F$6:$F$14))/STDEVP($F$6:$F$14)</f>
        <v>-0.100309369324952</v>
      </c>
      <c r="K8" s="17" t="n">
        <f aca="false">(G8-AVERAGE($G$6:$G$14))/STDEVP($G$6:$G$14)</f>
        <v>-0.518720260955663</v>
      </c>
      <c r="L8" s="16" t="s">
        <v>561</v>
      </c>
    </row>
    <row r="9" customFormat="false" ht="28.35" hidden="false" customHeight="false" outlineLevel="0" collapsed="false">
      <c r="A9" s="0" t="n">
        <v>2020</v>
      </c>
      <c r="B9" s="6" t="n">
        <f aca="false">'Export-dataset'!AB8</f>
        <v>7755</v>
      </c>
      <c r="C9" s="6" t="n">
        <f aca="false">'Import-dataset'!AB8</f>
        <v>22720</v>
      </c>
      <c r="D9" s="6" t="n">
        <f aca="false">'Export-dataset'!AB8-'Import-dataset'!AB8</f>
        <v>-14965</v>
      </c>
      <c r="E9" s="17" t="n">
        <f aca="false">'Export-dataset'!AB8/'Import-dataset'!AB8</f>
        <v>0.341329225352113</v>
      </c>
      <c r="F9" s="18" t="n">
        <f aca="false">'Export-dataset'!AB8/'Export-dataset'!AB7-1</f>
        <v>-0.365592277486911</v>
      </c>
      <c r="G9" s="18" t="n">
        <f aca="false">'Import-dataset'!AB8/'Import-dataset'!AB7-1</f>
        <v>-0.407670047188258</v>
      </c>
      <c r="H9" s="6" t="n">
        <f aca="false">AVERAGE('Export-dataset'!AB6,'Export-dataset'!AB7,'Export-dataset'!AB8)</f>
        <v>10390</v>
      </c>
      <c r="I9" s="6" t="n">
        <f aca="false">AVERAGE('Import-dataset'!AB6,'Import-dataset'!AB7,'Import-dataset'!AB8)</f>
        <v>33674.6666666667</v>
      </c>
      <c r="J9" s="17" t="n">
        <f aca="false">(F9-AVERAGE($F$6:$F$14))/STDEVP($F$6:$F$14)</f>
        <v>-1.69497155873333</v>
      </c>
      <c r="K9" s="17" t="n">
        <f aca="false">(G9-AVERAGE($G$6:$G$14))/STDEVP($G$6:$G$14)</f>
        <v>-1.50699456115629</v>
      </c>
      <c r="L9" s="16" t="s">
        <v>562</v>
      </c>
    </row>
    <row r="10" customFormat="false" ht="15" hidden="false" customHeight="false" outlineLevel="0" collapsed="false">
      <c r="A10" s="0" t="n">
        <v>2021</v>
      </c>
      <c r="B10" s="6" t="n">
        <f aca="false">'Export-dataset'!AB9</f>
        <v>11715</v>
      </c>
      <c r="C10" s="6" t="n">
        <f aca="false">'Import-dataset'!AB9</f>
        <v>34044</v>
      </c>
      <c r="D10" s="6" t="n">
        <f aca="false">'Export-dataset'!AB9-'Import-dataset'!AB9</f>
        <v>-22329</v>
      </c>
      <c r="E10" s="17" t="n">
        <f aca="false">'Export-dataset'!AB9/'Import-dataset'!AB9</f>
        <v>0.344113500176243</v>
      </c>
      <c r="F10" s="18" t="n">
        <f aca="false">'Export-dataset'!AB9/'Export-dataset'!AB8-1</f>
        <v>0.510638297872341</v>
      </c>
      <c r="G10" s="18" t="n">
        <f aca="false">'Import-dataset'!AB9/'Import-dataset'!AB8-1</f>
        <v>0.498415492957746</v>
      </c>
      <c r="H10" s="6" t="n">
        <f aca="false">AVERAGE('Export-dataset'!AB7,'Export-dataset'!AB8,'Export-dataset'!AB9)</f>
        <v>10564.6666666667</v>
      </c>
      <c r="I10" s="6" t="n">
        <f aca="false">AVERAGE('Import-dataset'!AB7,'Import-dataset'!AB8,'Import-dataset'!AB9)</f>
        <v>31707</v>
      </c>
      <c r="J10" s="17" t="n">
        <f aca="false">(F10-AVERAGE($F$6:$F$14))/STDEVP($F$6:$F$14)</f>
        <v>1.35655946318446</v>
      </c>
      <c r="K10" s="17" t="n">
        <f aca="false">(G10-AVERAGE($G$6:$G$14))/STDEVP($G$6:$G$14)</f>
        <v>0.927201227036946</v>
      </c>
      <c r="L10" s="16" t="s">
        <v>563</v>
      </c>
    </row>
    <row r="11" customFormat="false" ht="15" hidden="false" customHeight="false" outlineLevel="0" collapsed="false">
      <c r="A11" s="0" t="n">
        <v>2022</v>
      </c>
      <c r="B11" s="6" t="n">
        <f aca="false">'Export-dataset'!AB10</f>
        <v>17341</v>
      </c>
      <c r="C11" s="6" t="n">
        <f aca="false">'Import-dataset'!AB10</f>
        <v>65082</v>
      </c>
      <c r="D11" s="6" t="n">
        <f aca="false">'Export-dataset'!AB10-'Import-dataset'!AB10</f>
        <v>-47741</v>
      </c>
      <c r="E11" s="17" t="n">
        <f aca="false">'Export-dataset'!AB10/'Import-dataset'!AB10</f>
        <v>0.266448480378599</v>
      </c>
      <c r="F11" s="18" t="n">
        <f aca="false">'Export-dataset'!AB10/'Export-dataset'!AB9-1</f>
        <v>0.480239009816475</v>
      </c>
      <c r="G11" s="18" t="n">
        <f aca="false">'Import-dataset'!AB10/'Import-dataset'!AB9-1</f>
        <v>0.911702502643638</v>
      </c>
      <c r="H11" s="6" t="n">
        <f aca="false">AVERAGE('Export-dataset'!AB8,'Export-dataset'!AB9,'Export-dataset'!AB10)</f>
        <v>12270.3333333333</v>
      </c>
      <c r="I11" s="6" t="n">
        <f aca="false">AVERAGE('Import-dataset'!AB8,'Import-dataset'!AB9,'Import-dataset'!AB10)</f>
        <v>40615.3333333333</v>
      </c>
      <c r="J11" s="17" t="n">
        <f aca="false">(F11-AVERAGE($F$6:$F$14))/STDEVP($F$6:$F$14)</f>
        <v>1.25069192882153</v>
      </c>
      <c r="K11" s="17" t="n">
        <f aca="false">(G11-AVERAGE($G$6:$G$14))/STDEVP($G$6:$G$14)</f>
        <v>2.03749540315884</v>
      </c>
      <c r="L11" s="16" t="s">
        <v>564</v>
      </c>
    </row>
    <row r="12" customFormat="false" ht="28.35" hidden="false" customHeight="false" outlineLevel="0" collapsed="false">
      <c r="A12" s="0" t="n">
        <v>2023</v>
      </c>
      <c r="B12" s="6" t="n">
        <f aca="false">'Export-dataset'!AB11</f>
        <v>15760</v>
      </c>
      <c r="C12" s="6" t="n">
        <f aca="false">'Import-dataset'!AB11</f>
        <v>60057</v>
      </c>
      <c r="D12" s="6" t="n">
        <f aca="false">'Export-dataset'!AB11-'Import-dataset'!AB11</f>
        <v>-44297</v>
      </c>
      <c r="E12" s="17" t="n">
        <f aca="false">'Export-dataset'!AB11/'Import-dataset'!AB11</f>
        <v>0.26241737016501</v>
      </c>
      <c r="F12" s="18" t="n">
        <f aca="false">'Export-dataset'!AB11/'Export-dataset'!AB10-1</f>
        <v>-0.0911712127328297</v>
      </c>
      <c r="G12" s="18" t="n">
        <f aca="false">'Import-dataset'!AB11/'Import-dataset'!AB10-1</f>
        <v>-0.0772102885590486</v>
      </c>
      <c r="H12" s="6" t="n">
        <f aca="false">AVERAGE('Export-dataset'!AB9,'Export-dataset'!AB10,'Export-dataset'!AB11)</f>
        <v>14938.6666666667</v>
      </c>
      <c r="I12" s="6" t="n">
        <f aca="false">AVERAGE('Import-dataset'!AB9,'Import-dataset'!AB10,'Import-dataset'!AB11)</f>
        <v>53061</v>
      </c>
      <c r="J12" s="17" t="n">
        <f aca="false">(F12-AVERAGE($F$6:$F$14))/STDEVP($F$6:$F$14)</f>
        <v>-0.739282022538528</v>
      </c>
      <c r="K12" s="17" t="n">
        <f aca="false">(G12-AVERAGE($G$6:$G$14))/STDEVP($G$6:$G$14)</f>
        <v>-0.619215519353066</v>
      </c>
      <c r="L12" s="16" t="s">
        <v>565</v>
      </c>
    </row>
    <row r="13" customFormat="false" ht="15" hidden="false" customHeight="false" outlineLevel="0" collapsed="false">
      <c r="A13" s="0" t="n">
        <v>2024</v>
      </c>
      <c r="B13" s="6" t="n">
        <f aca="false">'Export-dataset'!AB12</f>
        <v>15713</v>
      </c>
      <c r="C13" s="6" t="n">
        <f aca="false">'Import-dataset'!AB12</f>
        <v>56183</v>
      </c>
      <c r="D13" s="6" t="n">
        <f aca="false">'Export-dataset'!AB12-'Import-dataset'!AB12</f>
        <v>-40470</v>
      </c>
      <c r="E13" s="17" t="n">
        <f aca="false">'Export-dataset'!AB12/'Import-dataset'!AB12</f>
        <v>0.279675346635103</v>
      </c>
      <c r="F13" s="18" t="n">
        <f aca="false">'Export-dataset'!AB12/'Export-dataset'!AB11-1</f>
        <v>-0.00298223350253812</v>
      </c>
      <c r="G13" s="18" t="n">
        <f aca="false">'Import-dataset'!AB12/'Import-dataset'!AB11-1</f>
        <v>-0.0645053865494447</v>
      </c>
      <c r="H13" s="6" t="n">
        <f aca="false">AVERAGE('Export-dataset'!AB10,'Export-dataset'!AB11,'Export-dataset'!AB12)</f>
        <v>16271.3333333333</v>
      </c>
      <c r="I13" s="6" t="n">
        <f aca="false">AVERAGE('Import-dataset'!AB10,'Import-dataset'!AB11,'Import-dataset'!AB12)</f>
        <v>60440.6666666667</v>
      </c>
      <c r="J13" s="17" t="n">
        <f aca="false">(F13-AVERAGE($F$6:$F$14))/STDEVP($F$6:$F$14)</f>
        <v>-0.432158060558357</v>
      </c>
      <c r="K13" s="17" t="n">
        <f aca="false">(G13-AVERAGE($G$6:$G$14))/STDEVP($G$6:$G$14)</f>
        <v>-0.585083842385567</v>
      </c>
      <c r="L13" s="16" t="s">
        <v>566</v>
      </c>
    </row>
    <row r="14" customFormat="false" ht="28.35" hidden="false" customHeight="false" outlineLevel="0" collapsed="false">
      <c r="A14" s="0" t="n">
        <v>2025</v>
      </c>
      <c r="B14" s="6" t="n">
        <f aca="false">'Export-dataset'!AB13</f>
        <v>14187</v>
      </c>
      <c r="C14" s="6" t="n">
        <f aca="false">'Import-dataset'!AB13</f>
        <v>52742</v>
      </c>
      <c r="D14" s="6" t="n">
        <f aca="false">'Export-dataset'!AB13-'Import-dataset'!AB13</f>
        <v>-38555</v>
      </c>
      <c r="E14" s="17" t="n">
        <f aca="false">'Export-dataset'!AB13/'Import-dataset'!AB13</f>
        <v>0.26898866178757</v>
      </c>
      <c r="F14" s="18" t="n">
        <f aca="false">'Export-dataset'!AB13/'Export-dataset'!AB12-1</f>
        <v>-0.0971170368484694</v>
      </c>
      <c r="G14" s="18" t="n">
        <f aca="false">'Import-dataset'!AB13/'Import-dataset'!AB12-1</f>
        <v>-0.0612462844632719</v>
      </c>
      <c r="H14" s="6" t="n">
        <f aca="false">AVERAGE('Export-dataset'!AB11,'Export-dataset'!AB12,'Export-dataset'!AB13)</f>
        <v>15220</v>
      </c>
      <c r="I14" s="6" t="n">
        <f aca="false">AVERAGE('Import-dataset'!AB11,'Import-dataset'!AB12,'Import-dataset'!AB13)</f>
        <v>56327.3333333333</v>
      </c>
      <c r="J14" s="17" t="n">
        <f aca="false">(F14-AVERAGE($F$6:$F$14))/STDEVP($F$6:$F$14)</f>
        <v>-0.759988748884277</v>
      </c>
      <c r="K14" s="17" t="n">
        <f aca="false">(G14-AVERAGE($G$6:$G$14))/STDEVP($G$6:$G$14)</f>
        <v>-0.576328275477199</v>
      </c>
      <c r="L14" s="16" t="s">
        <v>567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2"/>
    <col collapsed="false" customWidth="true" hidden="false" outlineLevel="0" max="4" min="4" style="0" width="34"/>
    <col collapsed="false" customWidth="true" hidden="false" outlineLevel="0" max="12" min="5" style="0" width="14"/>
  </cols>
  <sheetData>
    <row r="1" customFormat="false" ht="16.15" hidden="false" customHeight="false" outlineLevel="0" collapsed="false">
      <c r="A1" s="2" t="s">
        <v>568</v>
      </c>
    </row>
    <row r="2" customFormat="false" ht="15" hidden="false" customHeight="false" outlineLevel="0" collapsed="false">
      <c r="A2" s="0" t="s">
        <v>569</v>
      </c>
    </row>
    <row r="4" customFormat="false" ht="16.15" hidden="false" customHeight="false" outlineLevel="0" collapsed="false">
      <c r="A4" s="2" t="s">
        <v>479</v>
      </c>
    </row>
    <row r="5" customFormat="false" ht="15" hidden="false" customHeight="false" outlineLevel="0" collapsed="false">
      <c r="A5" s="3" t="s">
        <v>311</v>
      </c>
      <c r="B5" s="3" t="s">
        <v>313</v>
      </c>
      <c r="C5" s="7" t="n">
        <v>2016</v>
      </c>
      <c r="D5" s="7" t="n">
        <v>2017</v>
      </c>
      <c r="E5" s="7" t="n">
        <v>2018</v>
      </c>
      <c r="F5" s="7" t="n">
        <v>2019</v>
      </c>
      <c r="G5" s="7" t="n">
        <v>2020</v>
      </c>
      <c r="H5" s="7" t="n">
        <v>2021</v>
      </c>
      <c r="I5" s="7" t="n">
        <v>2022</v>
      </c>
      <c r="J5" s="7" t="n">
        <v>2023</v>
      </c>
      <c r="K5" s="7" t="n">
        <v>2024</v>
      </c>
      <c r="L5" s="7" t="n">
        <v>2025</v>
      </c>
    </row>
    <row r="6" customFormat="false" ht="15" hidden="false" customHeight="false" outlineLevel="0" collapsed="false">
      <c r="A6" s="0" t="s">
        <v>367</v>
      </c>
      <c r="B6" s="0" t="s">
        <v>368</v>
      </c>
      <c r="C6" s="10" t="n">
        <f aca="false">'Export-dataset'!AA4/'Export-dataset'!AA4*100</f>
        <v>100</v>
      </c>
      <c r="D6" s="10" t="n">
        <f aca="false">'Export-dataset'!AA5/'Export-dataset'!AA4*100</f>
        <v>135.15246138197</v>
      </c>
      <c r="E6" s="10" t="n">
        <f aca="false">'Export-dataset'!AA6/'Export-dataset'!AA4*100</f>
        <v>158.13403354387</v>
      </c>
      <c r="F6" s="10" t="n">
        <f aca="false">'Export-dataset'!AA7/'Export-dataset'!AA4*100</f>
        <v>151.25730371632</v>
      </c>
      <c r="G6" s="10" t="n">
        <f aca="false">'Export-dataset'!AA8/'Export-dataset'!AA4*100</f>
        <v>102.587940292858</v>
      </c>
      <c r="H6" s="10" t="n">
        <f aca="false">'Export-dataset'!AA9/'Export-dataset'!AA4*100</f>
        <v>150.223546944858</v>
      </c>
      <c r="I6" s="10" t="n">
        <f aca="false">'Export-dataset'!AA10/'Export-dataset'!AA4*100</f>
        <v>336.727935088591</v>
      </c>
      <c r="J6" s="10" t="n">
        <f aca="false">'Export-dataset'!AA11/'Export-dataset'!AA4*100</f>
        <v>244.437347716036</v>
      </c>
      <c r="K6" s="10" t="n">
        <f aca="false">'Export-dataset'!AA12/'Export-dataset'!AA4*100</f>
        <v>202.126652946325</v>
      </c>
      <c r="L6" s="10" t="n">
        <f aca="false">'Export-dataset'!AA13/'Export-dataset'!AA4*100</f>
        <v>152.527618101389</v>
      </c>
    </row>
    <row r="7" customFormat="false" ht="15" hidden="false" customHeight="false" outlineLevel="0" collapsed="false">
      <c r="A7" s="0" t="s">
        <v>369</v>
      </c>
      <c r="B7" s="0" t="s">
        <v>370</v>
      </c>
      <c r="C7" s="10" t="n">
        <f aca="false">'Export-dataset'!AB4/'Export-dataset'!AB4*100</f>
        <v>100</v>
      </c>
      <c r="D7" s="10" t="n">
        <f aca="false">'Export-dataset'!AB5/'Export-dataset'!AB4*100</f>
        <v>110.308090987619</v>
      </c>
      <c r="E7" s="10" t="n">
        <f aca="false">'Export-dataset'!AB6/'Export-dataset'!AB4*100</f>
        <v>161.114310394472</v>
      </c>
      <c r="F7" s="10" t="n">
        <f aca="false">'Export-dataset'!AB7/'Export-dataset'!AB4*100</f>
        <v>175.986179095883</v>
      </c>
      <c r="G7" s="10" t="n">
        <f aca="false">'Export-dataset'!AB8/'Export-dataset'!AB4*100</f>
        <v>111.646991073999</v>
      </c>
      <c r="H7" s="10" t="n">
        <f aca="false">'Export-dataset'!AB9/'Export-dataset'!AB4*100</f>
        <v>168.658220558595</v>
      </c>
      <c r="I7" s="10" t="n">
        <f aca="false">'Export-dataset'!AB10/'Export-dataset'!AB4*100</f>
        <v>249.654477397063</v>
      </c>
      <c r="J7" s="10" t="n">
        <f aca="false">'Export-dataset'!AB11/'Export-dataset'!AB4*100</f>
        <v>226.893175928592</v>
      </c>
      <c r="K7" s="10" t="n">
        <f aca="false">'Export-dataset'!AB12/'Export-dataset'!AB4*100</f>
        <v>226.216527497841</v>
      </c>
      <c r="L7" s="10" t="n">
        <f aca="false">'Export-dataset'!AB13/'Export-dataset'!AB4*100</f>
        <v>204.2470486611</v>
      </c>
    </row>
    <row r="8" customFormat="false" ht="15" hidden="false" customHeight="false" outlineLevel="0" collapsed="false">
      <c r="A8" s="0" t="s">
        <v>371</v>
      </c>
      <c r="B8" s="0" t="s">
        <v>372</v>
      </c>
      <c r="C8" s="10" t="n">
        <f aca="false">'Export-dataset'!AC4/'Export-dataset'!AC4*100</f>
        <v>100</v>
      </c>
      <c r="D8" s="10" t="n">
        <f aca="false">'Export-dataset'!AC5/'Export-dataset'!AC4*100</f>
        <v>142.613636363636</v>
      </c>
      <c r="E8" s="10" t="n">
        <f aca="false">'Export-dataset'!AC6/'Export-dataset'!AC4*100</f>
        <v>239.334415584416</v>
      </c>
      <c r="F8" s="10" t="n">
        <f aca="false">'Export-dataset'!AC7/'Export-dataset'!AC4*100</f>
        <v>271.233766233766</v>
      </c>
      <c r="G8" s="10" t="n">
        <f aca="false">'Export-dataset'!AC8/'Export-dataset'!AC4*100</f>
        <v>203.998917748918</v>
      </c>
      <c r="H8" s="10" t="n">
        <f aca="false">'Export-dataset'!AC9/'Export-dataset'!AC4*100</f>
        <v>276.942640692641</v>
      </c>
      <c r="I8" s="10" t="n">
        <f aca="false">'Export-dataset'!AC10/'Export-dataset'!AC4*100</f>
        <v>495.930735930736</v>
      </c>
      <c r="J8" s="10" t="n">
        <f aca="false">'Export-dataset'!AC11/'Export-dataset'!AC4*100</f>
        <v>413.722943722944</v>
      </c>
      <c r="K8" s="10" t="n">
        <f aca="false">'Export-dataset'!AC12/'Export-dataset'!AC4*100</f>
        <v>377.0670995671</v>
      </c>
      <c r="L8" s="10" t="n">
        <f aca="false">'Export-dataset'!AC13/'Export-dataset'!AC4*100</f>
        <v>332.862554112554</v>
      </c>
    </row>
    <row r="10" customFormat="false" ht="16.15" hidden="false" customHeight="false" outlineLevel="0" collapsed="false">
      <c r="A10" s="2" t="s">
        <v>478</v>
      </c>
    </row>
    <row r="11" customFormat="false" ht="15" hidden="false" customHeight="false" outlineLevel="0" collapsed="false">
      <c r="A11" s="3" t="s">
        <v>311</v>
      </c>
      <c r="B11" s="3" t="s">
        <v>313</v>
      </c>
      <c r="C11" s="7" t="n">
        <v>2017</v>
      </c>
      <c r="D11" s="7" t="n">
        <v>2018</v>
      </c>
      <c r="E11" s="7" t="n">
        <v>2019</v>
      </c>
      <c r="F11" s="7" t="n">
        <v>2020</v>
      </c>
      <c r="G11" s="7" t="n">
        <v>2021</v>
      </c>
      <c r="H11" s="7" t="n">
        <v>2022</v>
      </c>
      <c r="I11" s="7" t="n">
        <v>2023</v>
      </c>
      <c r="J11" s="7" t="n">
        <v>2024</v>
      </c>
      <c r="K11" s="7" t="n">
        <v>2025</v>
      </c>
    </row>
    <row r="12" customFormat="false" ht="15" hidden="false" customHeight="false" outlineLevel="0" collapsed="false">
      <c r="A12" s="0" t="s">
        <v>367</v>
      </c>
      <c r="B12" s="0" t="s">
        <v>368</v>
      </c>
      <c r="C12" s="9" t="n">
        <f aca="false">'Export-dataset'!AA5/'Export-dataset'!AA4-1</f>
        <v>0.351524613819696</v>
      </c>
      <c r="D12" s="9" t="n">
        <f aca="false">'Export-dataset'!AA6/'Export-dataset'!AA5-1</f>
        <v>0.170041832216057</v>
      </c>
      <c r="E12" s="9" t="n">
        <f aca="false">'Export-dataset'!AA7/'Export-dataset'!AA6-1</f>
        <v>-0.0434867161321206</v>
      </c>
      <c r="F12" s="9" t="n">
        <f aca="false">'Export-dataset'!AA8/'Export-dataset'!AA7-1</f>
        <v>-0.321765377457343</v>
      </c>
      <c r="G12" s="9" t="n">
        <f aca="false">'Export-dataset'!AA9/'Export-dataset'!AA8-1</f>
        <v>0.464339244125718</v>
      </c>
      <c r="H12" s="9" t="n">
        <f aca="false">'Export-dataset'!AA10/'Export-dataset'!AA9-1</f>
        <v>1.24151234567901</v>
      </c>
      <c r="I12" s="9" t="n">
        <f aca="false">'Export-dataset'!AA11/'Export-dataset'!AA10-1</f>
        <v>-0.274080578875268</v>
      </c>
      <c r="J12" s="9" t="n">
        <f aca="false">'Export-dataset'!AA12/'Export-dataset'!AA11-1</f>
        <v>-0.173094231160058</v>
      </c>
      <c r="K12" s="9" t="n">
        <f aca="false">'Export-dataset'!AA13/'Export-dataset'!AA12-1</f>
        <v>-0.245385920767745</v>
      </c>
    </row>
    <row r="13" customFormat="false" ht="15" hidden="false" customHeight="false" outlineLevel="0" collapsed="false">
      <c r="A13" s="0" t="s">
        <v>369</v>
      </c>
      <c r="B13" s="0" t="s">
        <v>370</v>
      </c>
      <c r="C13" s="9" t="n">
        <f aca="false">'Export-dataset'!AB5/'Export-dataset'!AB4-1</f>
        <v>0.103080909876188</v>
      </c>
      <c r="D13" s="9" t="n">
        <f aca="false">'Export-dataset'!AB6/'Export-dataset'!AB5-1</f>
        <v>0.460584703732707</v>
      </c>
      <c r="E13" s="9" t="n">
        <f aca="false">'Export-dataset'!AB7/'Export-dataset'!AB6-1</f>
        <v>0.0923063175766241</v>
      </c>
      <c r="F13" s="9" t="n">
        <f aca="false">'Export-dataset'!AB8/'Export-dataset'!AB7-1</f>
        <v>-0.365592277486911</v>
      </c>
      <c r="G13" s="9" t="n">
        <f aca="false">'Export-dataset'!AB9/'Export-dataset'!AB8-1</f>
        <v>0.510638297872341</v>
      </c>
      <c r="H13" s="9" t="n">
        <f aca="false">'Export-dataset'!AB10/'Export-dataset'!AB9-1</f>
        <v>0.480239009816475</v>
      </c>
      <c r="I13" s="9" t="n">
        <f aca="false">'Export-dataset'!AB11/'Export-dataset'!AB10-1</f>
        <v>-0.0911712127328297</v>
      </c>
      <c r="J13" s="9" t="n">
        <f aca="false">'Export-dataset'!AB12/'Export-dataset'!AB11-1</f>
        <v>-0.00298223350253812</v>
      </c>
      <c r="K13" s="9" t="n">
        <f aca="false">'Export-dataset'!AB13/'Export-dataset'!AB12-1</f>
        <v>-0.0971170368484694</v>
      </c>
    </row>
    <row r="14" customFormat="false" ht="15" hidden="false" customHeight="false" outlineLevel="0" collapsed="false">
      <c r="A14" s="0" t="s">
        <v>371</v>
      </c>
      <c r="B14" s="0" t="s">
        <v>372</v>
      </c>
      <c r="C14" s="9" t="n">
        <f aca="false">'Export-dataset'!AC5/'Export-dataset'!AC4-1</f>
        <v>0.426136363636364</v>
      </c>
      <c r="D14" s="9" t="n">
        <f aca="false">'Export-dataset'!AC6/'Export-dataset'!AC5-1</f>
        <v>0.678201479795105</v>
      </c>
      <c r="E14" s="9" t="n">
        <f aca="false">'Export-dataset'!AC7/'Export-dataset'!AC6-1</f>
        <v>0.133283592213254</v>
      </c>
      <c r="F14" s="9" t="n">
        <f aca="false">'Export-dataset'!AC8/'Export-dataset'!AC7-1</f>
        <v>-0.247885244593408</v>
      </c>
      <c r="G14" s="9" t="n">
        <f aca="false">'Export-dataset'!AC9/'Export-dataset'!AC8-1</f>
        <v>0.357569166290883</v>
      </c>
      <c r="H14" s="9" t="n">
        <f aca="false">'Export-dataset'!AC10/'Export-dataset'!AC9-1</f>
        <v>0.790734480939448</v>
      </c>
      <c r="I14" s="9" t="n">
        <f aca="false">'Export-dataset'!AC11/'Export-dataset'!AC10-1</f>
        <v>-0.165764664804469</v>
      </c>
      <c r="J14" s="9" t="n">
        <f aca="false">'Export-dataset'!AC12/'Export-dataset'!AC11-1</f>
        <v>-0.0885999790729308</v>
      </c>
      <c r="K14" s="9" t="n">
        <f aca="false">'Export-dataset'!AC13/'Export-dataset'!AC12-1</f>
        <v>-0.117232570821733</v>
      </c>
    </row>
    <row r="16" customFormat="false" ht="16.15" hidden="false" customHeight="false" outlineLevel="0" collapsed="false">
      <c r="A16" s="2" t="s">
        <v>487</v>
      </c>
    </row>
    <row r="17" customFormat="false" ht="15" hidden="false" customHeight="false" outlineLevel="0" collapsed="false">
      <c r="A17" s="3" t="s">
        <v>311</v>
      </c>
      <c r="B17" s="3" t="s">
        <v>313</v>
      </c>
      <c r="C17" s="7" t="n">
        <v>2016</v>
      </c>
      <c r="D17" s="7" t="n">
        <v>2017</v>
      </c>
      <c r="E17" s="7" t="n">
        <v>2018</v>
      </c>
      <c r="F17" s="7" t="n">
        <v>2019</v>
      </c>
      <c r="G17" s="7" t="n">
        <v>2020</v>
      </c>
      <c r="H17" s="7" t="n">
        <v>2021</v>
      </c>
      <c r="I17" s="7" t="n">
        <v>2022</v>
      </c>
      <c r="J17" s="7" t="n">
        <v>2023</v>
      </c>
      <c r="K17" s="7" t="n">
        <v>2024</v>
      </c>
      <c r="L17" s="7" t="n">
        <v>2025</v>
      </c>
    </row>
    <row r="18" customFormat="false" ht="15" hidden="false" customHeight="false" outlineLevel="0" collapsed="false">
      <c r="A18" s="0" t="s">
        <v>367</v>
      </c>
      <c r="B18" s="0" t="s">
        <v>368</v>
      </c>
      <c r="C18" s="10" t="n">
        <f aca="false">'Import-dataset'!AA4/'Import-dataset'!AA4*100</f>
        <v>100</v>
      </c>
      <c r="D18" s="10" t="n">
        <f aca="false">'Import-dataset'!AA5/'Import-dataset'!AA4*100</f>
        <v>272.549019607843</v>
      </c>
      <c r="E18" s="10" t="n">
        <f aca="false">'Import-dataset'!AA6/'Import-dataset'!AA4*100</f>
        <v>349.019607843137</v>
      </c>
      <c r="F18" s="10" t="n">
        <f aca="false">'Import-dataset'!AA7/'Import-dataset'!AA4*100</f>
        <v>398.039215686275</v>
      </c>
      <c r="G18" s="10" t="n">
        <f aca="false">'Import-dataset'!AA8/'Import-dataset'!AA4*100</f>
        <v>290.196078431373</v>
      </c>
      <c r="H18" s="10" t="n">
        <f aca="false">'Import-dataset'!AA9/'Import-dataset'!AA4*100</f>
        <v>392.156862745098</v>
      </c>
      <c r="I18" s="10" t="n">
        <f aca="false">'Import-dataset'!AA10/'Import-dataset'!AA4*100</f>
        <v>735.294117647059</v>
      </c>
      <c r="J18" s="10" t="n">
        <f aca="false">'Import-dataset'!AA11/'Import-dataset'!AA4*100</f>
        <v>600</v>
      </c>
      <c r="K18" s="10" t="n">
        <f aca="false">'Import-dataset'!AA12/'Import-dataset'!AA4*100</f>
        <v>509.803921568627</v>
      </c>
      <c r="L18" s="10" t="n">
        <f aca="false">'Import-dataset'!AA13/'Import-dataset'!AA4*100</f>
        <v>386.274509803922</v>
      </c>
    </row>
    <row r="19" customFormat="false" ht="15" hidden="false" customHeight="false" outlineLevel="0" collapsed="false">
      <c r="A19" s="0" t="s">
        <v>369</v>
      </c>
      <c r="B19" s="0" t="s">
        <v>370</v>
      </c>
      <c r="C19" s="10" t="n">
        <f aca="false">'Import-dataset'!AB4/'Import-dataset'!AB4*100</f>
        <v>100</v>
      </c>
      <c r="D19" s="10" t="n">
        <f aca="false">'Import-dataset'!AB5/'Import-dataset'!AB4*100</f>
        <v>125.948959897062</v>
      </c>
      <c r="E19" s="10" t="n">
        <f aca="false">'Import-dataset'!AB6/'Import-dataset'!AB4*100</f>
        <v>171.336049753378</v>
      </c>
      <c r="F19" s="10" t="n">
        <f aca="false">'Import-dataset'!AB7/'Import-dataset'!AB4*100</f>
        <v>164.516405747373</v>
      </c>
      <c r="G19" s="10" t="n">
        <f aca="false">'Import-dataset'!AB8/'Import-dataset'!AB4*100</f>
        <v>97.4479948530989</v>
      </c>
      <c r="H19" s="10" t="n">
        <f aca="false">'Import-dataset'!AB9/'Import-dataset'!AB4*100</f>
        <v>146.01758524555</v>
      </c>
      <c r="I19" s="10" t="n">
        <f aca="false">'Import-dataset'!AB10/'Import-dataset'!AB4*100</f>
        <v>279.142183143899</v>
      </c>
      <c r="J19" s="10" t="n">
        <f aca="false">'Import-dataset'!AB11/'Import-dataset'!AB4*100</f>
        <v>257.589534634356</v>
      </c>
      <c r="K19" s="10" t="n">
        <f aca="false">'Import-dataset'!AB12/'Import-dataset'!AB4*100</f>
        <v>240.973622131675</v>
      </c>
      <c r="L19" s="10" t="n">
        <f aca="false">'Import-dataset'!AB13/'Import-dataset'!AB4*100</f>
        <v>226.214883122453</v>
      </c>
    </row>
    <row r="20" customFormat="false" ht="15" hidden="false" customHeight="false" outlineLevel="0" collapsed="false">
      <c r="A20" s="0" t="s">
        <v>371</v>
      </c>
      <c r="B20" s="0" t="s">
        <v>372</v>
      </c>
      <c r="C20" s="10" t="n">
        <f aca="false">'Import-dataset'!AC4/'Import-dataset'!AC4*100</f>
        <v>100</v>
      </c>
      <c r="D20" s="10" t="n">
        <f aca="false">'Import-dataset'!AC5/'Import-dataset'!AC4*100</f>
        <v>127.310924369748</v>
      </c>
      <c r="E20" s="10" t="n">
        <f aca="false">'Import-dataset'!AC6/'Import-dataset'!AC4*100</f>
        <v>163.865546218487</v>
      </c>
      <c r="F20" s="10" t="n">
        <f aca="false">'Import-dataset'!AC7/'Import-dataset'!AC4*100</f>
        <v>99.1596638655462</v>
      </c>
      <c r="G20" s="10" t="n">
        <f aca="false">'Import-dataset'!AC8/'Import-dataset'!AC4*100</f>
        <v>101.680672268908</v>
      </c>
      <c r="H20" s="10" t="n">
        <f aca="false">'Import-dataset'!AC9/'Import-dataset'!AC4*100</f>
        <v>130.252100840336</v>
      </c>
      <c r="I20" s="10" t="n">
        <f aca="false">'Import-dataset'!AC10/'Import-dataset'!AC4*100</f>
        <v>147.899159663866</v>
      </c>
      <c r="J20" s="10" t="n">
        <f aca="false">'Import-dataset'!AC11/'Import-dataset'!AC4*100</f>
        <v>123.109243697479</v>
      </c>
      <c r="K20" s="10" t="n">
        <f aca="false">'Import-dataset'!AC12/'Import-dataset'!AC4*100</f>
        <v>128.571428571429</v>
      </c>
      <c r="L20" s="10" t="n">
        <f aca="false">'Import-dataset'!AC13/'Import-dataset'!AC4*100</f>
        <v>133.193277310924</v>
      </c>
    </row>
    <row r="22" customFormat="false" ht="16.15" hidden="false" customHeight="false" outlineLevel="0" collapsed="false">
      <c r="A22" s="2" t="s">
        <v>486</v>
      </c>
    </row>
    <row r="23" customFormat="false" ht="15" hidden="false" customHeight="false" outlineLevel="0" collapsed="false">
      <c r="A23" s="3" t="s">
        <v>311</v>
      </c>
      <c r="B23" s="3" t="s">
        <v>313</v>
      </c>
      <c r="C23" s="7" t="n">
        <v>2017</v>
      </c>
      <c r="D23" s="7" t="n">
        <v>2018</v>
      </c>
      <c r="E23" s="7" t="n">
        <v>2019</v>
      </c>
      <c r="F23" s="7" t="n">
        <v>2020</v>
      </c>
      <c r="G23" s="7" t="n">
        <v>2021</v>
      </c>
      <c r="H23" s="7" t="n">
        <v>2022</v>
      </c>
      <c r="I23" s="7" t="n">
        <v>2023</v>
      </c>
      <c r="J23" s="7" t="n">
        <v>2024</v>
      </c>
      <c r="K23" s="7" t="n">
        <v>2025</v>
      </c>
    </row>
    <row r="24" customFormat="false" ht="15" hidden="false" customHeight="false" outlineLevel="0" collapsed="false">
      <c r="A24" s="0" t="s">
        <v>367</v>
      </c>
      <c r="B24" s="0" t="s">
        <v>368</v>
      </c>
      <c r="C24" s="9" t="n">
        <f aca="false">'Import-dataset'!AA5/'Import-dataset'!AA4-1</f>
        <v>1.72549019607843</v>
      </c>
      <c r="D24" s="9" t="n">
        <f aca="false">'Import-dataset'!AA6/'Import-dataset'!AA5-1</f>
        <v>0.280575539568345</v>
      </c>
      <c r="E24" s="9" t="n">
        <f aca="false">'Import-dataset'!AA7/'Import-dataset'!AA6-1</f>
        <v>0.140449438202247</v>
      </c>
      <c r="F24" s="9" t="n">
        <f aca="false">'Import-dataset'!AA8/'Import-dataset'!AA7-1</f>
        <v>-0.270935960591133</v>
      </c>
      <c r="G24" s="9" t="n">
        <f aca="false">'Import-dataset'!AA9/'Import-dataset'!AA8-1</f>
        <v>0.351351351351351</v>
      </c>
      <c r="H24" s="9" t="n">
        <f aca="false">'Import-dataset'!AA10/'Import-dataset'!AA9-1</f>
        <v>0.875</v>
      </c>
      <c r="I24" s="9" t="n">
        <f aca="false">'Import-dataset'!AA11/'Import-dataset'!AA10-1</f>
        <v>-0.184</v>
      </c>
      <c r="J24" s="9" t="n">
        <f aca="false">'Import-dataset'!AA12/'Import-dataset'!AA11-1</f>
        <v>-0.150326797385621</v>
      </c>
      <c r="K24" s="9" t="n">
        <f aca="false">'Import-dataset'!AA13/'Import-dataset'!AA12-1</f>
        <v>-0.242307692307692</v>
      </c>
    </row>
    <row r="25" customFormat="false" ht="15" hidden="false" customHeight="false" outlineLevel="0" collapsed="false">
      <c r="A25" s="0" t="s">
        <v>369</v>
      </c>
      <c r="B25" s="0" t="s">
        <v>370</v>
      </c>
      <c r="C25" s="9" t="n">
        <f aca="false">'Import-dataset'!AB5/'Import-dataset'!AB4-1</f>
        <v>0.25948959897062</v>
      </c>
      <c r="D25" s="9" t="n">
        <f aca="false">'Import-dataset'!AB6/'Import-dataset'!AB5-1</f>
        <v>0.360360973948578</v>
      </c>
      <c r="E25" s="9" t="n">
        <f aca="false">'Import-dataset'!AB7/'Import-dataset'!AB6-1</f>
        <v>-0.039802738628683</v>
      </c>
      <c r="F25" s="9" t="n">
        <f aca="false">'Import-dataset'!AB8/'Import-dataset'!AB7-1</f>
        <v>-0.407670047188258</v>
      </c>
      <c r="G25" s="9" t="n">
        <f aca="false">'Import-dataset'!AB9/'Import-dataset'!AB8-1</f>
        <v>0.498415492957746</v>
      </c>
      <c r="H25" s="9" t="n">
        <f aca="false">'Import-dataset'!AB10/'Import-dataset'!AB9-1</f>
        <v>0.911702502643638</v>
      </c>
      <c r="I25" s="9" t="n">
        <f aca="false">'Import-dataset'!AB11/'Import-dataset'!AB10-1</f>
        <v>-0.0772102885590486</v>
      </c>
      <c r="J25" s="9" t="n">
        <f aca="false">'Import-dataset'!AB12/'Import-dataset'!AB11-1</f>
        <v>-0.0645053865494447</v>
      </c>
      <c r="K25" s="9" t="n">
        <f aca="false">'Import-dataset'!AB13/'Import-dataset'!AB12-1</f>
        <v>-0.0612462844632719</v>
      </c>
    </row>
    <row r="26" customFormat="false" ht="15" hidden="false" customHeight="false" outlineLevel="0" collapsed="false">
      <c r="A26" s="0" t="s">
        <v>371</v>
      </c>
      <c r="B26" s="0" t="s">
        <v>372</v>
      </c>
      <c r="C26" s="9" t="n">
        <f aca="false">'Import-dataset'!AC5/'Import-dataset'!AC4-1</f>
        <v>0.273109243697479</v>
      </c>
      <c r="D26" s="9" t="n">
        <f aca="false">'Import-dataset'!AC6/'Import-dataset'!AC5-1</f>
        <v>0.287128712871287</v>
      </c>
      <c r="E26" s="9" t="n">
        <f aca="false">'Import-dataset'!AC7/'Import-dataset'!AC6-1</f>
        <v>-0.394871794871795</v>
      </c>
      <c r="F26" s="9" t="n">
        <f aca="false">'Import-dataset'!AC8/'Import-dataset'!AC7-1</f>
        <v>0.0254237288135593</v>
      </c>
      <c r="G26" s="9" t="n">
        <f aca="false">'Import-dataset'!AC9/'Import-dataset'!AC8-1</f>
        <v>0.28099173553719</v>
      </c>
      <c r="H26" s="9" t="n">
        <f aca="false">'Import-dataset'!AC10/'Import-dataset'!AC9-1</f>
        <v>0.135483870967742</v>
      </c>
      <c r="I26" s="9" t="n">
        <f aca="false">'Import-dataset'!AC11/'Import-dataset'!AC10-1</f>
        <v>-0.167613636363636</v>
      </c>
      <c r="J26" s="9" t="n">
        <f aca="false">'Import-dataset'!AC12/'Import-dataset'!AC11-1</f>
        <v>0.0443686006825939</v>
      </c>
      <c r="K26" s="9" t="n">
        <f aca="false">'Import-dataset'!AC13/'Import-dataset'!AC12-1</f>
        <v>0.0359477124183008</v>
      </c>
    </row>
    <row r="28" customFormat="false" ht="16.15" hidden="false" customHeight="false" outlineLevel="0" collapsed="false">
      <c r="A28" s="2" t="s">
        <v>570</v>
      </c>
    </row>
    <row r="29" customFormat="false" ht="15" hidden="false" customHeight="false" outlineLevel="0" collapsed="false">
      <c r="A29" s="3" t="s">
        <v>571</v>
      </c>
      <c r="B29" s="3" t="s">
        <v>572</v>
      </c>
      <c r="C29" s="3" t="s">
        <v>573</v>
      </c>
      <c r="D29" s="3" t="s">
        <v>574</v>
      </c>
    </row>
    <row r="30" customFormat="false" ht="15" hidden="false" customHeight="false" outlineLevel="0" collapsed="false">
      <c r="A30" s="0" t="s">
        <v>575</v>
      </c>
      <c r="B30" s="17" t="n">
        <f aca="false">CORREL($C$13:$K$13,$C$12:$K$12)</f>
        <v>0.79001592273337</v>
      </c>
      <c r="C30" s="17" t="n">
        <f aca="false">CORREL($C$25:$K$25,$C$24:$K$24)</f>
        <v>0.616726181926548</v>
      </c>
      <c r="D30" s="17" t="n">
        <f aca="false">CORREL($C$13:$K$13,$C$25:$K$25)</f>
        <v>0.911204913804463</v>
      </c>
    </row>
    <row r="31" customFormat="false" ht="15" hidden="false" customHeight="false" outlineLevel="0" collapsed="false">
      <c r="A31" s="0" t="s">
        <v>576</v>
      </c>
      <c r="B31" s="17" t="n">
        <f aca="false">CORREL($C$13:$K$13,$C$14:$K$14)</f>
        <v>0.893088082105742</v>
      </c>
      <c r="C31" s="17" t="n">
        <f aca="false">CORREL($C$25:$K$25,$C$26:$K$26)</f>
        <v>0.518064854894853</v>
      </c>
    </row>
    <row r="32" customFormat="false" ht="15" hidden="false" customHeight="false" outlineLevel="0" collapsed="false">
      <c r="A32" s="0" t="s">
        <v>577</v>
      </c>
      <c r="B32" s="17" t="n">
        <f aca="false">CORREL($C$12:$K$12,$C$14:$K$14)</f>
        <v>0.87197088077591</v>
      </c>
      <c r="C32" s="17" t="n">
        <f aca="false">CORREL($C$24:$K$24,$C$26:$K$26)</f>
        <v>0.483609550556946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5" min="4" style="0" width="20"/>
    <col collapsed="false" customWidth="true" hidden="false" outlineLevel="0" max="6" min="6" style="0" width="26"/>
  </cols>
  <sheetData>
    <row r="1" customFormat="false" ht="16.15" hidden="false" customHeight="false" outlineLevel="0" collapsed="false">
      <c r="A1" s="2" t="s">
        <v>578</v>
      </c>
    </row>
    <row r="2" customFormat="false" ht="15" hidden="false" customHeight="false" outlineLevel="0" collapsed="false">
      <c r="A2" s="0" t="s">
        <v>579</v>
      </c>
    </row>
    <row r="4" customFormat="false" ht="28.35" hidden="false" customHeight="false" outlineLevel="0" collapsed="false">
      <c r="A4" s="15" t="s">
        <v>59</v>
      </c>
      <c r="B4" s="15" t="s">
        <v>580</v>
      </c>
      <c r="C4" s="15" t="s">
        <v>581</v>
      </c>
      <c r="D4" s="15" t="s">
        <v>582</v>
      </c>
      <c r="E4" s="15" t="s">
        <v>583</v>
      </c>
      <c r="F4" s="15" t="s">
        <v>584</v>
      </c>
    </row>
    <row r="5" customFormat="false" ht="15" hidden="false" customHeight="false" outlineLevel="0" collapsed="false">
      <c r="A5" s="0" t="n">
        <v>2016</v>
      </c>
      <c r="B5" s="6" t="n">
        <f aca="false">'Import-dataset'!AB4</f>
        <v>23315</v>
      </c>
    </row>
    <row r="6" customFormat="false" ht="15" hidden="false" customHeight="false" outlineLevel="0" collapsed="false">
      <c r="A6" s="0" t="n">
        <v>2017</v>
      </c>
      <c r="B6" s="6" t="n">
        <f aca="false">'Import-dataset'!AB5</f>
        <v>29365</v>
      </c>
    </row>
    <row r="7" customFormat="false" ht="15" hidden="false" customHeight="false" outlineLevel="0" collapsed="false">
      <c r="A7" s="0" t="n">
        <v>2018</v>
      </c>
      <c r="B7" s="6" t="n">
        <f aca="false">'Import-dataset'!AB6</f>
        <v>39947</v>
      </c>
    </row>
    <row r="8" customFormat="false" ht="15" hidden="false" customHeight="false" outlineLevel="0" collapsed="false">
      <c r="A8" s="0" t="n">
        <v>2019</v>
      </c>
      <c r="B8" s="6" t="n">
        <f aca="false">'Import-dataset'!AB7</f>
        <v>38357</v>
      </c>
    </row>
    <row r="9" customFormat="false" ht="15" hidden="false" customHeight="false" outlineLevel="0" collapsed="false">
      <c r="A9" s="0" t="n">
        <v>2020</v>
      </c>
      <c r="B9" s="6" t="n">
        <f aca="false">'Import-dataset'!AB8</f>
        <v>22720</v>
      </c>
    </row>
    <row r="10" customFormat="false" ht="15" hidden="false" customHeight="false" outlineLevel="0" collapsed="false">
      <c r="A10" s="0" t="n">
        <v>2021</v>
      </c>
      <c r="B10" s="6" t="n">
        <f aca="false">'Import-dataset'!AB9</f>
        <v>34044</v>
      </c>
    </row>
    <row r="11" customFormat="false" ht="15" hidden="false" customHeight="false" outlineLevel="0" collapsed="false">
      <c r="A11" s="0" t="n">
        <v>2022</v>
      </c>
      <c r="B11" s="6" t="n">
        <f aca="false">'Import-dataset'!AB10</f>
        <v>65082</v>
      </c>
    </row>
    <row r="12" customFormat="false" ht="15" hidden="false" customHeight="false" outlineLevel="0" collapsed="false">
      <c r="A12" s="0" t="n">
        <v>2023</v>
      </c>
      <c r="B12" s="6" t="n">
        <f aca="false">'Import-dataset'!AB11</f>
        <v>60057</v>
      </c>
    </row>
    <row r="13" customFormat="false" ht="15" hidden="false" customHeight="false" outlineLevel="0" collapsed="false">
      <c r="A13" s="0" t="n">
        <v>2024</v>
      </c>
      <c r="B13" s="6" t="n">
        <f aca="false">'Import-dataset'!AB12</f>
        <v>56183</v>
      </c>
    </row>
    <row r="14" customFormat="false" ht="15" hidden="false" customHeight="false" outlineLevel="0" collapsed="false">
      <c r="A14" s="0" t="n">
        <v>2025</v>
      </c>
      <c r="B14" s="6" t="n">
        <f aca="false">'Import-dataset'!AB13</f>
        <v>52742</v>
      </c>
    </row>
    <row r="15" customFormat="false" ht="15" hidden="false" customHeight="false" outlineLevel="0" collapsed="false">
      <c r="A15" s="0" t="n">
        <v>2026</v>
      </c>
      <c r="C15" s="6" t="n">
        <f aca="false">FORECAST(A15,$B$5:$B$14,Keys!$B$3:$B$12)</f>
        <v>63668.4666666667</v>
      </c>
      <c r="D15" s="6" t="n">
        <f aca="false">$B$14*POWER(POWER($B$14/$B$5,1/9),A15-2025)</f>
        <v>57749.4478227621</v>
      </c>
      <c r="E15" s="6" t="n">
        <f aca="false">$B$14*POWER(1-0.03,A15-2025)</f>
        <v>51159.74</v>
      </c>
      <c r="F15" s="6" t="n">
        <f aca="false">C15-E15</f>
        <v>12508.7266666667</v>
      </c>
    </row>
    <row r="16" customFormat="false" ht="15" hidden="false" customHeight="false" outlineLevel="0" collapsed="false">
      <c r="A16" s="0" t="n">
        <v>2027</v>
      </c>
      <c r="C16" s="6" t="n">
        <f aca="false">FORECAST(A16,$B$5:$B$14,Keys!$B$3:$B$12)</f>
        <v>67575.2424242424</v>
      </c>
      <c r="D16" s="6" t="n">
        <f aca="false">$B$14*POWER(POWER($B$14/$B$5,1/9),A16-2025)</f>
        <v>63232.3143573229</v>
      </c>
      <c r="E16" s="6" t="n">
        <f aca="false">$B$14*POWER(1-0.03,A16-2025)</f>
        <v>49624.9478</v>
      </c>
      <c r="F16" s="6" t="n">
        <f aca="false">C16-E16</f>
        <v>17950.2946242424</v>
      </c>
    </row>
    <row r="17" customFormat="false" ht="15" hidden="false" customHeight="false" outlineLevel="0" collapsed="false">
      <c r="A17" s="0" t="n">
        <v>2028</v>
      </c>
      <c r="C17" s="6" t="n">
        <f aca="false">FORECAST(A17,$B$5:$B$14,Keys!$B$3:$B$12)</f>
        <v>71482.0181818182</v>
      </c>
      <c r="D17" s="6" t="n">
        <f aca="false">$B$14*POWER(POWER($B$14/$B$5,1/9),A17-2025)</f>
        <v>69235.7369589836</v>
      </c>
      <c r="E17" s="6" t="n">
        <f aca="false">$B$14*POWER(1-0.03,A17-2025)</f>
        <v>48136.199366</v>
      </c>
      <c r="F17" s="6" t="n">
        <f aca="false">C17-E17</f>
        <v>23345.8188158182</v>
      </c>
    </row>
    <row r="18" customFormat="false" ht="15" hidden="false" customHeight="false" outlineLevel="0" collapsed="false">
      <c r="A18" s="0" t="n">
        <v>2029</v>
      </c>
      <c r="C18" s="6" t="n">
        <f aca="false">FORECAST(A18,$B$5:$B$14,Keys!$B$3:$B$12)</f>
        <v>75388.793939394</v>
      </c>
      <c r="D18" s="6" t="n">
        <f aca="false">$B$14*POWER(POWER($B$14/$B$5,1/9),A18-2025)</f>
        <v>75809.1384282604</v>
      </c>
      <c r="E18" s="6" t="n">
        <f aca="false">$B$14*POWER(1-0.03,A18-2025)</f>
        <v>46692.11338502</v>
      </c>
      <c r="F18" s="6" t="n">
        <f aca="false">C18-E18</f>
        <v>28696.6805543739</v>
      </c>
    </row>
    <row r="19" customFormat="false" ht="15" hidden="false" customHeight="false" outlineLevel="0" collapsed="false">
      <c r="A19" s="0" t="n">
        <v>2030</v>
      </c>
      <c r="C19" s="6" t="n">
        <f aca="false">FORECAST(A19,$B$5:$B$14,Keys!$B$3:$B$12)</f>
        <v>79295.5696969697</v>
      </c>
      <c r="D19" s="6" t="n">
        <f aca="false">$B$14*POWER(POWER($B$14/$B$5,1/9),A19-2025)</f>
        <v>83006.6338809938</v>
      </c>
      <c r="E19" s="6" t="n">
        <f aca="false">$B$14*POWER(1-0.03,A19-2025)</f>
        <v>45291.3499834694</v>
      </c>
      <c r="F19" s="6" t="n">
        <f aca="false">C19-E19</f>
        <v>34004.2197135003</v>
      </c>
    </row>
    <row r="21" customFormat="false" ht="16.15" hidden="false" customHeight="false" outlineLevel="0" collapsed="false">
      <c r="A21" s="2" t="s">
        <v>585</v>
      </c>
    </row>
    <row r="22" customFormat="false" ht="15" hidden="false" customHeight="false" outlineLevel="0" collapsed="false">
      <c r="A22" s="4" t="s">
        <v>586</v>
      </c>
      <c r="B22" s="6" t="n">
        <f aca="false">$B$5</f>
        <v>23315</v>
      </c>
    </row>
    <row r="23" customFormat="false" ht="15" hidden="false" customHeight="false" outlineLevel="0" collapsed="false">
      <c r="A23" s="4" t="s">
        <v>587</v>
      </c>
      <c r="B23" s="6" t="n">
        <f aca="false">$B$14</f>
        <v>52742</v>
      </c>
    </row>
    <row r="24" customFormat="false" ht="15" hidden="false" customHeight="false" outlineLevel="0" collapsed="false">
      <c r="A24" s="4" t="s">
        <v>588</v>
      </c>
      <c r="B24" s="6" t="n">
        <f aca="false">$B$14-$B$5</f>
        <v>29427</v>
      </c>
    </row>
    <row r="25" customFormat="false" ht="15" hidden="false" customHeight="false" outlineLevel="0" collapsed="false">
      <c r="A25" s="4" t="s">
        <v>589</v>
      </c>
      <c r="B25" s="18" t="n">
        <f aca="false">$B$14/$B$5-1</f>
        <v>1.26214883122453</v>
      </c>
    </row>
    <row r="26" customFormat="false" ht="15" hidden="false" customHeight="false" outlineLevel="0" collapsed="false">
      <c r="A26" s="4" t="s">
        <v>590</v>
      </c>
      <c r="B26" s="18" t="n">
        <f aca="false">POWER($B$14/$B$5,1/9)-1</f>
        <v>0.0949423196458636</v>
      </c>
    </row>
    <row r="27" customFormat="false" ht="15" hidden="false" customHeight="false" outlineLevel="0" collapsed="false">
      <c r="A27" s="4" t="s">
        <v>591</v>
      </c>
      <c r="B27" s="6" t="n">
        <f aca="false">SLOPE($B$5:$B$14,Keys!$B$3:$B$12)</f>
        <v>3906.77575757576</v>
      </c>
    </row>
    <row r="28" customFormat="false" ht="15" hidden="false" customHeight="false" outlineLevel="0" collapsed="false">
      <c r="A28" s="4" t="s">
        <v>592</v>
      </c>
      <c r="B28" s="17" t="n">
        <f aca="false">RSQ($B$5:$B$14,Keys!$B$3:$B$12)</f>
        <v>0.589417240270765</v>
      </c>
    </row>
    <row r="29" customFormat="false" ht="15" hidden="false" customHeight="false" outlineLevel="0" collapsed="false">
      <c r="A29" s="4" t="s">
        <v>593</v>
      </c>
      <c r="B29" s="6" t="n">
        <f aca="false">'Export-dataset'!AB4-'Import-dataset'!AB4</f>
        <v>-16369</v>
      </c>
    </row>
    <row r="30" customFormat="false" ht="15" hidden="false" customHeight="false" outlineLevel="0" collapsed="false">
      <c r="A30" s="4" t="s">
        <v>594</v>
      </c>
      <c r="B30" s="6" t="n">
        <f aca="false">'Export-dataset'!AB13-'Import-dataset'!AB13</f>
        <v>-38555</v>
      </c>
    </row>
    <row r="31" customFormat="false" ht="15" hidden="false" customHeight="false" outlineLevel="0" collapsed="false">
      <c r="A31" s="4" t="s">
        <v>595</v>
      </c>
      <c r="B31" s="18" t="n">
        <f aca="false">0.03</f>
        <v>0.03</v>
      </c>
    </row>
    <row r="32" customFormat="false" ht="15" hidden="false" customHeight="false" outlineLevel="0" collapsed="false">
      <c r="A32" s="4" t="s">
        <v>596</v>
      </c>
      <c r="B32" s="6" t="n">
        <f aca="false">E19</f>
        <v>45291.3499834694</v>
      </c>
    </row>
    <row r="33" customFormat="false" ht="15" hidden="false" customHeight="false" outlineLevel="0" collapsed="false">
      <c r="A33" s="4" t="s">
        <v>597</v>
      </c>
      <c r="B33" s="6" t="n">
        <f aca="false">F19</f>
        <v>34004.2197135003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4"/>
    <col collapsed="false" customWidth="true" hidden="false" outlineLevel="0" max="4" min="4" style="0" width="22"/>
    <col collapsed="false" customWidth="true" hidden="false" outlineLevel="0" max="6" min="5" style="0" width="28"/>
  </cols>
  <sheetData>
    <row r="1" customFormat="false" ht="16.15" hidden="false" customHeight="false" outlineLevel="0" collapsed="false">
      <c r="A1" s="2" t="s">
        <v>598</v>
      </c>
    </row>
    <row r="2" customFormat="false" ht="15" hidden="false" customHeight="false" outlineLevel="0" collapsed="false">
      <c r="A2" s="0" t="s">
        <v>599</v>
      </c>
    </row>
    <row r="4" customFormat="false" ht="28.35" hidden="false" customHeight="false" outlineLevel="0" collapsed="false">
      <c r="A4" s="15" t="s">
        <v>59</v>
      </c>
      <c r="B4" s="15" t="s">
        <v>600</v>
      </c>
      <c r="C4" s="15" t="s">
        <v>601</v>
      </c>
      <c r="D4" s="15" t="s">
        <v>602</v>
      </c>
      <c r="E4" s="15" t="s">
        <v>603</v>
      </c>
      <c r="F4" s="15" t="s">
        <v>604</v>
      </c>
    </row>
    <row r="5" customFormat="false" ht="15" hidden="false" customHeight="false" outlineLevel="0" collapsed="false">
      <c r="A5" s="0" t="n">
        <v>2026</v>
      </c>
      <c r="B5" s="6" t="n">
        <f aca="false">'Pet33-Forecast'!C15</f>
        <v>63668.4666666667</v>
      </c>
      <c r="C5" s="6" t="n">
        <f aca="false">'Pet33-Forecast'!D15</f>
        <v>57749.4478227621</v>
      </c>
      <c r="D5" s="6" t="n">
        <v>48600</v>
      </c>
      <c r="E5" s="6" t="n">
        <f aca="false">D5-B5</f>
        <v>-15068.4666666667</v>
      </c>
      <c r="F5" s="18" t="n">
        <f aca="false">IFERROR(D5/B5-1,"")</f>
        <v>-0.236670795694781</v>
      </c>
    </row>
    <row r="6" customFormat="false" ht="15" hidden="false" customHeight="false" outlineLevel="0" collapsed="false">
      <c r="A6" s="0" t="n">
        <v>2027</v>
      </c>
      <c r="B6" s="6" t="n">
        <f aca="false">'Pet33-Forecast'!C16</f>
        <v>67575.2424242424</v>
      </c>
      <c r="C6" s="6" t="n">
        <f aca="false">'Pet33-Forecast'!D16</f>
        <v>63232.3143573229</v>
      </c>
      <c r="D6" s="6" t="n">
        <v>44500</v>
      </c>
      <c r="E6" s="6" t="n">
        <f aca="false">D6-B6</f>
        <v>-23075.2424242424</v>
      </c>
      <c r="F6" s="18" t="n">
        <f aca="false">IFERROR(D6/B6-1,"")</f>
        <v>-0.341474800480542</v>
      </c>
    </row>
    <row r="7" customFormat="false" ht="15" hidden="false" customHeight="false" outlineLevel="0" collapsed="false">
      <c r="A7" s="0" t="n">
        <v>2028</v>
      </c>
      <c r="B7" s="6" t="n">
        <f aca="false">'Pet33-Forecast'!C17</f>
        <v>71482.0181818182</v>
      </c>
      <c r="C7" s="6" t="n">
        <f aca="false">'Pet33-Forecast'!D17</f>
        <v>69235.7369589836</v>
      </c>
      <c r="D7" s="6" t="n">
        <v>40400</v>
      </c>
      <c r="E7" s="6" t="n">
        <f aca="false">D7-B7</f>
        <v>-31082.0181818182</v>
      </c>
      <c r="F7" s="18" t="n">
        <f aca="false">IFERROR(D7/B7-1,"")</f>
        <v>-0.434822896336803</v>
      </c>
    </row>
    <row r="8" customFormat="false" ht="15" hidden="false" customHeight="false" outlineLevel="0" collapsed="false">
      <c r="A8" s="0" t="n">
        <v>2029</v>
      </c>
      <c r="B8" s="6" t="n">
        <f aca="false">'Pet33-Forecast'!C18</f>
        <v>75388.793939394</v>
      </c>
      <c r="C8" s="6" t="n">
        <f aca="false">'Pet33-Forecast'!D18</f>
        <v>75809.1384282604</v>
      </c>
      <c r="D8" s="6" t="n">
        <v>36300</v>
      </c>
      <c r="E8" s="6" t="n">
        <f aca="false">D8-B8</f>
        <v>-39088.7939393939</v>
      </c>
      <c r="F8" s="18" t="n">
        <f aca="false">IFERROR(D8/B8-1,"")</f>
        <v>-0.51849607742522</v>
      </c>
    </row>
    <row r="9" customFormat="false" ht="15" hidden="false" customHeight="false" outlineLevel="0" collapsed="false">
      <c r="A9" s="0" t="n">
        <v>2030</v>
      </c>
      <c r="B9" s="6" t="n">
        <f aca="false">'Pet33-Forecast'!C19</f>
        <v>79295.5696969697</v>
      </c>
      <c r="C9" s="6" t="n">
        <f aca="false">'Pet33-Forecast'!D19</f>
        <v>83006.6338809938</v>
      </c>
      <c r="D9" s="6" t="n">
        <v>32200</v>
      </c>
      <c r="E9" s="6" t="n">
        <f aca="false">D9-B9</f>
        <v>-47095.5696969697</v>
      </c>
      <c r="F9" s="18" t="n">
        <f aca="false">IFERROR(D9/B9-1,"")</f>
        <v>-0.593924350085973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2026-10-16T02:07:45Z</dcterms:created>
  <dc:creator>openpyxl</dc:creator>
  <dc:description/>
  <dc:language>en-AU</dc:language>
  <cp:lastModifiedBy/>
  <dcterms:modified xsi:type="dcterms:W3CDTF">2026-10-16T02:07:45Z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